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Run" sheetId="2" state="visible" r:id="rId2"/>
    <sheet xmlns:r="http://schemas.openxmlformats.org/officeDocument/2006/relationships" name="Findings" sheetId="3" state="visible" r:id="rId3"/>
    <sheet xmlns:r="http://schemas.openxmlformats.org/officeDocument/2006/relationships" name="Could not check" sheetId="4" state="visible" r:id="rId4"/>
    <sheet xmlns:r="http://schemas.openxmlformats.org/officeDocument/2006/relationships" name="Exit criteria" sheetId="5" state="visible" r:id="rId5"/>
    <sheet xmlns:r="http://schemas.openxmlformats.org/officeDocument/2006/relationships" name="Sign-off"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0C4A6E"/>
      <sz val="14"/>
    </font>
    <font>
      <name val="Arial"/>
      <color rgb="00000000"/>
      <sz val="10"/>
    </font>
    <font>
      <name val="Arial"/>
      <b val="1"/>
      <color rgb="000C4A6E"/>
      <sz val="11"/>
    </font>
    <font>
      <name val="Arial"/>
      <b val="1"/>
      <color rgb="00991B1B"/>
      <sz val="10"/>
    </font>
    <font>
      <name val="Arial"/>
      <color rgb="00475569"/>
      <sz val="9"/>
    </font>
    <font>
      <name val="Arial"/>
      <b val="1"/>
      <color rgb="00000000"/>
      <sz val="10"/>
    </font>
    <font>
      <name val="Arial"/>
      <b val="1"/>
      <color rgb="00FFFFFF"/>
      <sz val="10"/>
    </font>
    <font>
      <name val="Arial"/>
      <sz val="10"/>
    </font>
    <font>
      <name val="Arial"/>
      <b val="1"/>
      <sz val="10"/>
    </font>
    <font>
      <name val="Arial"/>
      <b val="1"/>
      <color rgb="00000000"/>
      <sz val="11"/>
    </font>
    <font>
      <name val="Arial"/>
      <b val="1"/>
      <sz val="11"/>
    </font>
  </fonts>
  <fills count="6">
    <fill>
      <patternFill/>
    </fill>
    <fill>
      <patternFill patternType="gray125"/>
    </fill>
    <fill>
      <patternFill patternType="solid">
        <fgColor rgb="000C4A6E"/>
      </patternFill>
    </fill>
    <fill>
      <patternFill patternType="solid">
        <fgColor rgb="00FFFF00"/>
      </patternFill>
    </fill>
    <fill>
      <patternFill patternType="solid">
        <fgColor rgb="00E0F2FE"/>
      </patternFill>
    </fill>
    <fill>
      <patternFill patternType="solid">
        <fgColor rgb="00FEE2E2"/>
      </patternFill>
    </fill>
  </fills>
  <borders count="2">
    <border>
      <left/>
      <right/>
      <top/>
      <bottom/>
      <diagonal/>
    </border>
    <border>
      <left style="thin">
        <color rgb="00BFDBFE"/>
      </left>
      <right style="thin">
        <color rgb="00BFDBFE"/>
      </right>
      <top style="thin">
        <color rgb="00BFDBFE"/>
      </top>
      <bottom style="thin">
        <color rgb="00BFDBFE"/>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1" applyAlignment="1" pivotButton="0" quotePrefix="0" xfId="0">
      <alignment vertical="center" wrapText="1"/>
    </xf>
    <xf numFmtId="0" fontId="2" fillId="0" borderId="1" applyAlignment="1" pivotButton="0" quotePrefix="0" xfId="0">
      <alignment vertical="top" wrapText="1"/>
    </xf>
    <xf numFmtId="0" fontId="8" fillId="3" borderId="1" pivotButton="0" quotePrefix="0" xfId="0"/>
    <xf numFmtId="0" fontId="0" fillId="4" borderId="0" pivotButton="0" quotePrefix="0" xfId="0"/>
    <xf numFmtId="0" fontId="9" fillId="0" borderId="0" pivotButton="0" quotePrefix="0" xfId="0"/>
    <xf numFmtId="0" fontId="10" fillId="0" borderId="0" applyAlignment="1" pivotButton="0" quotePrefix="0" xfId="0">
      <alignment vertical="top" wrapText="1"/>
    </xf>
    <xf numFmtId="0" fontId="1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Peopleopslab — parallel run, Acme Pack Pvt Ltd, August 2026</t>
        </is>
      </c>
    </row>
    <row r="2">
      <c r="A2" s="2" t="inlineStr"/>
    </row>
    <row r="3">
      <c r="A3" s="3" t="inlineStr">
        <is>
          <t>What this is</t>
        </is>
      </c>
    </row>
    <row r="4">
      <c r="A4" s="2" t="inlineStr">
        <is>
          <t>One real month that has already been paid, validated alongside your existing process. Nothing in your process changes and nothing is at risk. Your payroll lead walks every finding with the implementer and gives it a verdict. The month passes when the Exit criteria tab says so.</t>
        </is>
      </c>
    </row>
    <row r="5">
      <c r="A5" s="2" t="inlineStr"/>
    </row>
    <row r="6">
      <c r="A6" s="3" t="inlineStr">
        <is>
          <t>What to do</t>
        </is>
      </c>
    </row>
    <row r="7">
      <c r="A7" s="2" t="inlineStr">
        <is>
          <t>1. On the Findings tab, give every finding a verdict in the yellow column. Nothing else is yellow.</t>
        </is>
      </c>
    </row>
    <row r="8">
      <c r="A8" s="2" t="inlineStr">
        <is>
          <t>2. Write a note for any verdict other than True positive: the reason, or the configuration change.</t>
        </is>
      </c>
    </row>
    <row r="9">
      <c r="A9" s="2" t="inlineStr">
        <is>
          <t>3. Read the Could not check tab. A check that could not run is not a pass; supply the input or accept the gap in writing.</t>
        </is>
      </c>
    </row>
    <row r="10">
      <c r="A10" s="2" t="inlineStr">
        <is>
          <t>4. Answer the three statements on the Exit criteria tab, then sign the Sign-off tab.</t>
        </is>
      </c>
    </row>
    <row r="11">
      <c r="A11" s="2" t="inlineStr"/>
    </row>
    <row r="12">
      <c r="A12" s="3" t="inlineStr">
        <is>
          <t>The four verdicts</t>
        </is>
      </c>
    </row>
    <row r="13">
      <c r="A13" s="2" t="inlineStr">
        <is>
          <t>True positive — A real defect the client did not know about. This is the product's value: record it.</t>
        </is>
      </c>
    </row>
    <row r="14">
      <c r="A14" s="2" t="inlineStr">
        <is>
          <t>Known and accepted — Real, and the client has a reason. Waive it in the product, with the reason.</t>
        </is>
      </c>
    </row>
    <row r="15">
      <c r="A15" s="2" t="inlineStr">
        <is>
          <t>Configuration error — The rule is right, the setup was wrong. Fix the configuration and validate again.</t>
        </is>
      </c>
    </row>
    <row r="16">
      <c r="A16" s="2" t="inlineStr">
        <is>
          <t>False positive — The product is wrong. Stop: the code is fixed before go-live.</t>
        </is>
      </c>
    </row>
    <row r="17">
      <c r="A17" s="2" t="inlineStr"/>
    </row>
    <row r="18">
      <c r="A18" s="4" t="inlineStr">
        <is>
          <t>A false positive is not a tuning exercise. A client shown one fabricated finding will not trust the ninety that are real, so any false positive stops the go-live until the rule is fixed.</t>
        </is>
      </c>
    </row>
    <row r="19">
      <c r="A19" s="2" t="inlineStr"/>
    </row>
    <row r="20">
      <c r="A20" s="5" t="inlineStr">
        <is>
          <t>Generated 2026-10-19 from run #1. The findings are as the run recorded them; validating the month again makes a new run and needs a new pack.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70" customWidth="1" min="2" max="2"/>
  </cols>
  <sheetData>
    <row r="1">
      <c r="A1" s="6" t="inlineStr">
        <is>
          <t>Company</t>
        </is>
      </c>
      <c r="B1" s="2" t="inlineStr">
        <is>
          <t>Acme Pack Pvt Ltd</t>
        </is>
      </c>
    </row>
    <row r="2">
      <c r="A2" s="6" t="inlineStr">
        <is>
          <t>Payroll month</t>
        </is>
      </c>
      <c r="B2" s="2" t="inlineStr">
        <is>
          <t>August 2026</t>
        </is>
      </c>
    </row>
    <row r="3">
      <c r="A3" s="6" t="inlineStr">
        <is>
          <t>Run</t>
        </is>
      </c>
      <c r="B3" s="2" t="inlineStr">
        <is>
          <t>#1 (current)</t>
        </is>
      </c>
    </row>
    <row r="4">
      <c r="A4" s="6" t="inlineStr">
        <is>
          <t>Run ID</t>
        </is>
      </c>
      <c r="B4" s="2" t="inlineStr">
        <is>
          <t>abee5b4a-805a-48cd-8f9d-ad7148cc47bd</t>
        </is>
      </c>
    </row>
    <row r="5">
      <c r="A5" s="6" t="inlineStr">
        <is>
          <t>Validated at</t>
        </is>
      </c>
      <c r="B5" s="2" t="inlineStr">
        <is>
          <t>2026-10-18T22:18:50.603288</t>
        </is>
      </c>
    </row>
    <row r="6">
      <c r="A6" s="6" t="inlineStr">
        <is>
          <t>Engine version</t>
        </is>
      </c>
      <c r="B6" s="2" t="inlineStr">
        <is>
          <t>2026.10.2</t>
        </is>
      </c>
    </row>
    <row r="7">
      <c r="A7" s="6" t="inlineStr">
        <is>
          <t>Employees</t>
        </is>
      </c>
      <c r="B7" s="2" t="n">
        <v>40</v>
      </c>
    </row>
    <row r="8">
      <c r="A8" s="6" t="inlineStr">
        <is>
          <t>Findings</t>
        </is>
      </c>
      <c r="B8" s="2" t="n">
        <v>52</v>
      </c>
    </row>
    <row r="9">
      <c r="A9" s="6" t="inlineStr">
        <is>
          <t>Critical</t>
        </is>
      </c>
      <c r="B9" s="2" t="n">
        <v>13</v>
      </c>
    </row>
    <row r="10">
      <c r="A10" s="6" t="inlineStr">
        <is>
          <t>Warnings</t>
        </is>
      </c>
      <c r="B10" s="2" t="n">
        <v>7</v>
      </c>
    </row>
    <row r="11">
      <c r="A11" s="6" t="inlineStr">
        <is>
          <t>Source file</t>
        </is>
      </c>
      <c r="B11" s="2" t="inlineStr">
        <is>
          <t>not recorded</t>
        </is>
      </c>
    </row>
    <row r="12">
      <c r="A12" s="6" t="inlineStr">
        <is>
          <t>Source file SHA-256</t>
        </is>
      </c>
      <c r="B12" s="2" t="inlineStr">
        <is>
          <t>not recorded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11" customWidth="1" min="5" max="5"/>
    <col width="16" customWidth="1" min="6" max="6"/>
    <col width="16" customWidth="1" min="7" max="7"/>
    <col width="13" customWidth="1" min="8" max="8"/>
    <col width="50" customWidth="1" min="9" max="9"/>
    <col width="11" customWidth="1" min="10" max="10"/>
    <col width="22" customWidth="1" min="11" max="11"/>
    <col width="40" customWidth="1" min="12" max="12"/>
    <col width="14" customWidth="1" min="13" max="13"/>
    <col width="12" customWidth="1" min="14" max="14"/>
  </cols>
  <sheetData>
    <row r="1">
      <c r="A1" s="7" t="inlineStr">
        <is>
          <t>Employee ID</t>
        </is>
      </c>
      <c r="B1" s="7" t="inlineStr">
        <is>
          <t>Employee</t>
        </is>
      </c>
      <c r="C1" s="7" t="inlineStr">
        <is>
          <t>Rule</t>
        </is>
      </c>
      <c r="D1" s="7" t="inlineStr">
        <is>
          <t>Check</t>
        </is>
      </c>
      <c r="E1" s="7" t="inlineStr">
        <is>
          <t>Severity</t>
        </is>
      </c>
      <c r="F1" s="7" t="inlineStr">
        <is>
          <t>Expected</t>
        </is>
      </c>
      <c r="G1" s="7" t="inlineStr">
        <is>
          <t>Actual</t>
        </is>
      </c>
      <c r="H1" s="7" t="inlineStr">
        <is>
          <t>Impact (₹)</t>
        </is>
      </c>
      <c r="I1" s="7" t="inlineStr">
        <is>
          <t>Reason</t>
        </is>
      </c>
      <c r="J1" s="7" t="inlineStr">
        <is>
          <t>Waived in product</t>
        </is>
      </c>
      <c r="K1" s="7" t="inlineStr">
        <is>
          <t>Verdict</t>
        </is>
      </c>
      <c r="L1" s="7" t="inlineStr">
        <is>
          <t>Note</t>
        </is>
      </c>
      <c r="M1" s="7" t="inlineStr">
        <is>
          <t>Reviewer</t>
        </is>
      </c>
      <c r="N1" s="7" t="inlineStr">
        <is>
          <t>Date</t>
        </is>
      </c>
    </row>
    <row r="2">
      <c r="A2" s="8" t="inlineStr">
        <is>
          <t>E026</t>
        </is>
      </c>
      <c r="B2" s="8" t="inlineStr">
        <is>
          <t>Arjun Shetty</t>
        </is>
      </c>
      <c r="C2" s="8" t="inlineStr">
        <is>
          <t>AGG-001</t>
        </is>
      </c>
      <c r="D2" s="8" t="inlineStr">
        <is>
          <t>Gross Pay Mismatch</t>
        </is>
      </c>
      <c r="E2" s="8" t="inlineStr">
        <is>
          <t>CRITICAL</t>
        </is>
      </c>
      <c r="F2" s="8" t="inlineStr">
        <is>
          <t>97850.00</t>
        </is>
      </c>
      <c r="G2" s="8" t="inlineStr">
        <is>
          <t>99350.00</t>
        </is>
      </c>
      <c r="H2" s="8" t="n">
        <v>1500</v>
      </c>
      <c r="I2" s="8" t="inlineStr">
        <is>
          <t>Gross in register (99350.00) ≠ sum of earnings (97850.00). Difference: 1500.00.</t>
        </is>
      </c>
      <c r="J2" s="8" t="inlineStr">
        <is>
          <t>no</t>
        </is>
      </c>
      <c r="K2" s="9" t="n"/>
      <c r="L2" s="9" t="n"/>
      <c r="M2" s="9" t="n"/>
      <c r="N2" s="9" t="n"/>
    </row>
    <row r="3">
      <c r="A3" s="8" t="inlineStr">
        <is>
          <t>E027</t>
        </is>
      </c>
      <c r="B3" s="8" t="inlineStr">
        <is>
          <t>Sneha Verma</t>
        </is>
      </c>
      <c r="C3" s="8" t="inlineStr">
        <is>
          <t>AGG-002</t>
        </is>
      </c>
      <c r="D3" s="8" t="inlineStr">
        <is>
          <t>Net Pay Mismatch</t>
        </is>
      </c>
      <c r="E3" s="8" t="inlineStr">
        <is>
          <t>CRITICAL</t>
        </is>
      </c>
      <c r="F3" s="8" t="inlineStr">
        <is>
          <t>103036.00</t>
        </is>
      </c>
      <c r="G3" s="8" t="inlineStr">
        <is>
          <t>103936.00</t>
        </is>
      </c>
      <c r="H3" s="8" t="n">
        <v>900</v>
      </c>
      <c r="I3" s="8" t="inlineStr">
        <is>
          <t>Net in register (103936.00) ≠ Gross − Total Deductions (103036.00). Unexplained difference: 900.00.</t>
        </is>
      </c>
      <c r="J3" s="8" t="inlineStr">
        <is>
          <t>no</t>
        </is>
      </c>
      <c r="K3" s="9" t="n"/>
      <c r="L3" s="9" t="n"/>
      <c r="M3" s="9" t="n"/>
      <c r="N3" s="9" t="n"/>
    </row>
    <row r="4">
      <c r="A4" s="8" t="inlineStr">
        <is>
          <t>E028</t>
        </is>
      </c>
      <c r="B4" s="8" t="inlineStr">
        <is>
          <t>Karthik Patil</t>
        </is>
      </c>
      <c r="C4" s="8" t="inlineStr">
        <is>
          <t>ATT-001</t>
        </is>
      </c>
      <c r="D4" s="8" t="inlineStr">
        <is>
          <t>Paid Days Differ From Attendance</t>
        </is>
      </c>
      <c r="E4" s="8" t="inlineStr">
        <is>
          <t>CRITICAL</t>
        </is>
      </c>
      <c r="F4" s="8" t="inlineStr">
        <is>
          <t>28.00</t>
        </is>
      </c>
      <c r="G4" s="8" t="inlineStr">
        <is>
          <t>31.0</t>
        </is>
      </c>
      <c r="H4" s="8" t="n">
        <v>11162.9</v>
      </c>
      <c r="I4" s="8" t="inlineStr">
        <is>
          <t>Payroll paid 31.0 days but attendance records 28.00.</t>
        </is>
      </c>
      <c r="J4" s="8" t="inlineStr">
        <is>
          <t>no</t>
        </is>
      </c>
      <c r="K4" s="9" t="n"/>
      <c r="L4" s="9" t="n"/>
      <c r="M4" s="9" t="n"/>
      <c r="N4" s="9" t="n"/>
    </row>
    <row r="5">
      <c r="A5" s="8" t="inlineStr">
        <is>
          <t>E038</t>
        </is>
      </c>
      <c r="B5" s="8" t="inlineStr">
        <is>
          <t>Suresh Patil</t>
        </is>
      </c>
      <c r="C5" s="8" t="inlineStr">
        <is>
          <t>ATT-015</t>
        </is>
      </c>
      <c r="D5" s="8" t="inlineStr">
        <is>
          <t>On Attendance But Not Paid</t>
        </is>
      </c>
      <c r="E5" s="8" t="inlineStr">
        <is>
          <t>CRITICAL</t>
        </is>
      </c>
      <c r="F5" s="8" t="inlineStr">
        <is>
          <t>a payslip</t>
        </is>
      </c>
      <c r="G5" s="8" t="inlineStr">
        <is>
          <t>not on the register</t>
        </is>
      </c>
      <c r="H5" s="8" t="n">
        <v>0</v>
      </c>
      <c r="I5" s="8" t="inlineStr">
        <is>
          <t>Attendance records 31.00 paid days for this employee and the salary register does not contain them.</t>
        </is>
      </c>
      <c r="J5" s="8" t="inlineStr">
        <is>
          <t>no</t>
        </is>
      </c>
      <c r="K5" s="9" t="n"/>
      <c r="L5" s="9" t="n"/>
      <c r="M5" s="9" t="n"/>
      <c r="N5" s="9" t="n"/>
    </row>
    <row r="6">
      <c r="A6" s="8" t="inlineStr">
        <is>
          <t>E028</t>
        </is>
      </c>
      <c r="B6" s="8" t="inlineStr">
        <is>
          <t>Karthik Patil</t>
        </is>
      </c>
      <c r="C6" s="8" t="inlineStr">
        <is>
          <t>ATT-020</t>
        </is>
      </c>
      <c r="D6" s="8" t="inlineStr">
        <is>
          <t>Pay Not Reduced For Loss Of Pay</t>
        </is>
      </c>
      <c r="E6" s="8" t="inlineStr">
        <is>
          <t>CRITICAL</t>
        </is>
      </c>
      <c r="F6" s="8" t="inlineStr">
        <is>
          <t>104187.10</t>
        </is>
      </c>
      <c r="G6" s="8" t="inlineStr">
        <is>
          <t>115350.0</t>
        </is>
      </c>
      <c r="H6" s="8" t="n">
        <v>11162.9</v>
      </c>
      <c r="I6" s="8" t="inlineStr">
        <is>
          <t>3.00 days of loss of pay against a full month of ₹115,350.00 (agreed CTC) should have paid ₹104,187.10 on a calendar days basis. ₹115,350.00 was paid.</t>
        </is>
      </c>
      <c r="J6" s="8" t="inlineStr">
        <is>
          <t>no</t>
        </is>
      </c>
      <c r="K6" s="9" t="n"/>
      <c r="L6" s="9" t="n"/>
      <c r="M6" s="9" t="n"/>
      <c r="N6" s="9" t="n"/>
    </row>
    <row r="7">
      <c r="A7" s="8" t="inlineStr">
        <is>
          <t>E033</t>
        </is>
      </c>
      <c r="B7" s="8" t="n"/>
      <c r="C7" s="8" t="inlineStr">
        <is>
          <t>DATA-002</t>
        </is>
      </c>
      <c r="D7" s="8" t="inlineStr">
        <is>
          <t>Duplicate Employee ID</t>
        </is>
      </c>
      <c r="E7" s="8" t="inlineStr">
        <is>
          <t>CRITICAL</t>
        </is>
      </c>
      <c r="F7" s="8" t="inlineStr">
        <is>
          <t>unique</t>
        </is>
      </c>
      <c r="G7" s="8" t="inlineStr">
        <is>
          <t>2 occurrences</t>
        </is>
      </c>
      <c r="H7" s="8" t="n">
        <v>0</v>
      </c>
      <c r="I7" s="8" t="inlineStr">
        <is>
          <t>Employee ID 'E033' appears 2 times. Duplicates cause incorrect statutory aggregation.</t>
        </is>
      </c>
      <c r="J7" s="8" t="inlineStr">
        <is>
          <t>no</t>
        </is>
      </c>
      <c r="K7" s="9" t="n"/>
      <c r="L7" s="9" t="n"/>
      <c r="M7" s="9" t="n"/>
      <c r="N7" s="9" t="n"/>
    </row>
    <row r="8">
      <c r="A8" s="8" t="inlineStr">
        <is>
          <t>E033</t>
        </is>
      </c>
      <c r="B8" s="8" t="n"/>
      <c r="C8" s="8" t="inlineStr">
        <is>
          <t>DATA-002</t>
        </is>
      </c>
      <c r="D8" s="8" t="inlineStr">
        <is>
          <t>Duplicate Employee ID</t>
        </is>
      </c>
      <c r="E8" s="8" t="inlineStr">
        <is>
          <t>CRITICAL</t>
        </is>
      </c>
      <c r="F8" s="8" t="inlineStr">
        <is>
          <t>unique</t>
        </is>
      </c>
      <c r="G8" s="8" t="inlineStr">
        <is>
          <t>2 occurrences</t>
        </is>
      </c>
      <c r="H8" s="8" t="n">
        <v>0</v>
      </c>
      <c r="I8" s="8" t="inlineStr">
        <is>
          <t>Employee ID 'E033' appears 2 times. Duplicates cause incorrect statutory aggregation.</t>
        </is>
      </c>
      <c r="J8" s="8" t="inlineStr">
        <is>
          <t>no</t>
        </is>
      </c>
      <c r="K8" s="9" t="n"/>
      <c r="L8" s="9" t="n"/>
      <c r="M8" s="9" t="n"/>
      <c r="N8" s="9" t="n"/>
    </row>
    <row r="9">
      <c r="A9" s="8" t="inlineStr">
        <is>
          <t>E040</t>
        </is>
      </c>
      <c r="B9" s="8" t="inlineStr">
        <is>
          <t>Nikhil Menon</t>
        </is>
      </c>
      <c r="C9" s="8" t="inlineStr">
        <is>
          <t>MST-001</t>
        </is>
      </c>
      <c r="D9" s="8" t="inlineStr">
        <is>
          <t>Not in Employee Master</t>
        </is>
      </c>
      <c r="E9" s="8" t="inlineStr">
        <is>
          <t>CRITICAL</t>
        </is>
      </c>
      <c r="F9" s="8" t="n"/>
      <c r="G9" s="8" t="n"/>
      <c r="H9" s="8" t="n">
        <v>30475</v>
      </c>
      <c r="I9" s="8" t="inlineStr">
        <is>
          <t>Paid in this register but absent from the employee master.</t>
        </is>
      </c>
      <c r="J9" s="8" t="inlineStr">
        <is>
          <t>no</t>
        </is>
      </c>
      <c r="K9" s="9" t="n"/>
      <c r="L9" s="9" t="n"/>
      <c r="M9" s="9" t="n"/>
      <c r="N9" s="9" t="n"/>
    </row>
    <row r="10">
      <c r="A10" s="8" t="inlineStr">
        <is>
          <t>E030</t>
        </is>
      </c>
      <c r="B10" s="8" t="inlineStr">
        <is>
          <t>Rohan Menon</t>
        </is>
      </c>
      <c r="C10" s="8" t="inlineStr">
        <is>
          <t>MST-003</t>
        </is>
      </c>
      <c r="D10" s="8" t="inlineStr">
        <is>
          <t>Paid After Exit</t>
        </is>
      </c>
      <c r="E10" s="8" t="inlineStr">
        <is>
          <t>CRITICAL</t>
        </is>
      </c>
      <c r="F10" s="8" t="inlineStr">
        <is>
          <t>exited 2026-07-31</t>
        </is>
      </c>
      <c r="G10" s="8" t="inlineStr">
        <is>
          <t>paid for Aug 2026</t>
        </is>
      </c>
      <c r="H10" s="8" t="n">
        <v>142475</v>
      </c>
      <c r="I10" s="8" t="inlineStr">
        <is>
          <t>Exit date 2026-07-31 precedes this pay period, but the employee is still on the register.</t>
        </is>
      </c>
      <c r="J10" s="8" t="inlineStr">
        <is>
          <t>no</t>
        </is>
      </c>
      <c r="K10" s="9" t="n"/>
      <c r="L10" s="9" t="n"/>
      <c r="M10" s="9" t="n"/>
      <c r="N10" s="9" t="n"/>
    </row>
    <row r="11">
      <c r="A11" s="8" t="inlineStr">
        <is>
          <t>E021</t>
        </is>
      </c>
      <c r="B11" s="8" t="inlineStr">
        <is>
          <t>Asha Singh</t>
        </is>
      </c>
      <c r="C11" s="8" t="inlineStr">
        <is>
          <t>PF-009</t>
        </is>
      </c>
      <c r="D11" s="8" t="inlineStr">
        <is>
          <t>PF Restriction Basis Mismatch</t>
        </is>
      </c>
      <c r="E11" s="8" t="inlineStr">
        <is>
          <t>CRITICAL</t>
        </is>
      </c>
      <c r="F11" s="8" t="inlineStr">
        <is>
          <t>3000.00</t>
        </is>
      </c>
      <c r="G11" s="8" t="inlineStr">
        <is>
          <t>5670.00</t>
        </is>
      </c>
      <c r="H11" s="8" t="n">
        <v>2670</v>
      </c>
      <c r="I11" s="8" t="inlineStr">
        <is>
          <t>PF employee (5670.00) matches the unrestricted (full wage) basis, but this employee is set to restricted to the ceiling (source: entity default).</t>
        </is>
      </c>
      <c r="J11" s="8" t="inlineStr">
        <is>
          <t>no</t>
        </is>
      </c>
      <c r="K11" s="9" t="n"/>
      <c r="L11" s="9" t="n"/>
      <c r="M11" s="9" t="n"/>
      <c r="N11" s="9" t="n"/>
    </row>
    <row r="12">
      <c r="A12" s="8" t="inlineStr">
        <is>
          <t>E005</t>
        </is>
      </c>
      <c r="B12" s="8" t="inlineStr">
        <is>
          <t>Neha Reddy</t>
        </is>
      </c>
      <c r="C12" s="8" t="inlineStr">
        <is>
          <t>STAT-001</t>
        </is>
      </c>
      <c r="D12" s="8" t="inlineStr">
        <is>
          <t>PF Employee Contribution Mismatch</t>
        </is>
      </c>
      <c r="E12" s="8" t="inlineStr">
        <is>
          <t>CRITICAL</t>
        </is>
      </c>
      <c r="F12" s="8" t="inlineStr">
        <is>
          <t>1782.00</t>
        </is>
      </c>
      <c r="G12" s="8" t="inlineStr">
        <is>
          <t>0.00</t>
        </is>
      </c>
      <c r="H12" s="8" t="n">
        <v>1782</v>
      </c>
      <c r="I12" s="8" t="inlineStr">
        <is>
          <t>PF employee (0.00) ≠ computed (1782.00) [PF wage 14850.00 × 12.00%]. PF type: unrestricted.</t>
        </is>
      </c>
      <c r="J12" s="8" t="inlineStr">
        <is>
          <t>no</t>
        </is>
      </c>
      <c r="K12" s="9" t="n"/>
      <c r="L12" s="9" t="n"/>
      <c r="M12" s="9" t="n"/>
      <c r="N12" s="9" t="n"/>
    </row>
    <row r="13">
      <c r="A13" s="8" t="inlineStr">
        <is>
          <t>E004</t>
        </is>
      </c>
      <c r="B13" s="8" t="inlineStr">
        <is>
          <t>Vikram Nair</t>
        </is>
      </c>
      <c r="C13" s="8" t="inlineStr">
        <is>
          <t>STAT-006</t>
        </is>
      </c>
      <c r="D13" s="8" t="inlineStr">
        <is>
          <t>ESIC Employee Contribution Mismatch</t>
        </is>
      </c>
      <c r="E13" s="8" t="inlineStr">
        <is>
          <t>CRITICAL</t>
        </is>
      </c>
      <c r="F13" s="8" t="inlineStr">
        <is>
          <t>144.00</t>
        </is>
      </c>
      <c r="G13" s="8" t="inlineStr">
        <is>
          <t>0.00</t>
        </is>
      </c>
      <c r="H13" s="8" t="n">
        <v>144</v>
      </c>
      <c r="I13" s="8" t="inlineStr">
        <is>
          <t>ESIC employee (0.00) ≠ 19100.00 × 0.7500% = 144.00.</t>
        </is>
      </c>
      <c r="J13" s="8" t="inlineStr">
        <is>
          <t>no</t>
        </is>
      </c>
      <c r="K13" s="9" t="n"/>
      <c r="L13" s="9" t="n"/>
      <c r="M13" s="9" t="n"/>
      <c r="N13" s="9" t="n"/>
    </row>
    <row r="14">
      <c r="A14" s="8" t="inlineStr">
        <is>
          <t>E019</t>
        </is>
      </c>
      <c r="B14" s="8" t="inlineStr">
        <is>
          <t>Lakshmi Gupta</t>
        </is>
      </c>
      <c r="C14" s="8" t="inlineStr">
        <is>
          <t>STAT-006</t>
        </is>
      </c>
      <c r="D14" s="8" t="inlineStr">
        <is>
          <t>ESIC Employee Contribution Mismatch</t>
        </is>
      </c>
      <c r="E14" s="8" t="inlineStr">
        <is>
          <t>CRITICAL</t>
        </is>
      </c>
      <c r="F14" s="8" t="inlineStr">
        <is>
          <t>0.00</t>
        </is>
      </c>
      <c r="G14" s="8" t="inlineStr">
        <is>
          <t>180.00</t>
        </is>
      </c>
      <c r="H14" s="8" t="n">
        <v>180</v>
      </c>
      <c r="I14" s="8" t="inlineStr">
        <is>
          <t>ESIC employee (180.00) ≠ 54100.00 × 0.7500% = 0.00.</t>
        </is>
      </c>
      <c r="J14" s="8" t="inlineStr">
        <is>
          <t>no</t>
        </is>
      </c>
      <c r="K14" s="9" t="n"/>
      <c r="L14" s="9" t="n"/>
      <c r="M14" s="9" t="n"/>
      <c r="N14" s="9" t="n"/>
    </row>
    <row r="15">
      <c r="A15" s="8" t="inlineStr">
        <is>
          <t>E031</t>
        </is>
      </c>
      <c r="B15" s="8" t="inlineStr">
        <is>
          <t>Meera Singh</t>
        </is>
      </c>
      <c r="C15" s="8" t="inlineStr">
        <is>
          <t>MOM-001</t>
        </is>
      </c>
      <c r="D15" s="8" t="inlineStr">
        <is>
          <t>New Joiner Detected</t>
        </is>
      </c>
      <c r="E15" s="8" t="inlineStr">
        <is>
          <t>INFO</t>
        </is>
      </c>
      <c r="F15" s="8" t="inlineStr">
        <is>
          <t>Prior month record</t>
        </is>
      </c>
      <c r="G15" s="8" t="inlineStr">
        <is>
          <t>No prior record</t>
        </is>
      </c>
      <c r="H15" s="8" t="n">
        <v>0</v>
      </c>
      <c r="I15" s="8" t="inlineStr">
        <is>
          <t>No prior-month record found. Confirm joining date and validate partial-month salary.</t>
        </is>
      </c>
      <c r="J15" s="8" t="inlineStr">
        <is>
          <t>no</t>
        </is>
      </c>
      <c r="K15" s="9" t="n"/>
      <c r="L15" s="9" t="n"/>
      <c r="M15" s="9" t="n"/>
      <c r="N15" s="9" t="n"/>
    </row>
    <row r="16">
      <c r="A16" s="8" t="inlineStr">
        <is>
          <t>E040</t>
        </is>
      </c>
      <c r="B16" s="8" t="inlineStr">
        <is>
          <t>Nikhil Menon</t>
        </is>
      </c>
      <c r="C16" s="8" t="inlineStr">
        <is>
          <t>MOM-001</t>
        </is>
      </c>
      <c r="D16" s="8" t="inlineStr">
        <is>
          <t>New Joiner Detected</t>
        </is>
      </c>
      <c r="E16" s="8" t="inlineStr">
        <is>
          <t>INFO</t>
        </is>
      </c>
      <c r="F16" s="8" t="inlineStr">
        <is>
          <t>Prior month record</t>
        </is>
      </c>
      <c r="G16" s="8" t="inlineStr">
        <is>
          <t>No prior record</t>
        </is>
      </c>
      <c r="H16" s="8" t="n">
        <v>0</v>
      </c>
      <c r="I16" s="8" t="inlineStr">
        <is>
          <t>No prior-month record found. Confirm joining date and validate partial-month salary.</t>
        </is>
      </c>
      <c r="J16" s="8" t="inlineStr">
        <is>
          <t>no</t>
        </is>
      </c>
      <c r="K16" s="9" t="n"/>
      <c r="L16" s="9" t="n"/>
      <c r="M16" s="9" t="n"/>
      <c r="N16" s="9" t="n"/>
    </row>
    <row r="17">
      <c r="A17" s="8" t="inlineStr">
        <is>
          <t>E006</t>
        </is>
      </c>
      <c r="B17" s="8" t="inlineStr">
        <is>
          <t>Arjun Shetty</t>
        </is>
      </c>
      <c r="C17" s="8" t="inlineStr">
        <is>
          <t>STAT-005</t>
        </is>
      </c>
      <c r="D17" s="8" t="inlineStr">
        <is>
          <t>ESIC Ineligible — Above ₹21000.00</t>
        </is>
      </c>
      <c r="E17" s="8" t="inlineStr">
        <is>
          <t>INFO</t>
        </is>
      </c>
      <c r="F17" s="8" t="inlineStr">
        <is>
          <t>≤ ₹21000.00</t>
        </is>
      </c>
      <c r="G17" s="8" t="inlineStr">
        <is>
          <t>22600.00</t>
        </is>
      </c>
      <c r="H17" s="8" t="n">
        <v>0</v>
      </c>
      <c r="I17" s="8" t="inlineStr">
        <is>
          <t>ESIC wage (22600.00) &gt; ₹21000.00 statutory ceiling — employee is exempt under current config.</t>
        </is>
      </c>
      <c r="J17" s="8" t="inlineStr">
        <is>
          <t>no</t>
        </is>
      </c>
      <c r="K17" s="9" t="n"/>
      <c r="L17" s="9" t="n"/>
      <c r="M17" s="9" t="n"/>
      <c r="N17" s="9" t="n"/>
    </row>
    <row r="18">
      <c r="A18" s="8" t="inlineStr">
        <is>
          <t>E007</t>
        </is>
      </c>
      <c r="B18" s="8" t="inlineStr">
        <is>
          <t>Sneha Verma</t>
        </is>
      </c>
      <c r="C18" s="8" t="inlineStr">
        <is>
          <t>STAT-005</t>
        </is>
      </c>
      <c r="D18" s="8" t="inlineStr">
        <is>
          <t>ESIC Ineligible — Above ₹21000.00</t>
        </is>
      </c>
      <c r="E18" s="8" t="inlineStr">
        <is>
          <t>INFO</t>
        </is>
      </c>
      <c r="F18" s="8" t="inlineStr">
        <is>
          <t>≤ ₹21000.00</t>
        </is>
      </c>
      <c r="G18" s="8" t="inlineStr">
        <is>
          <t>23172.00</t>
        </is>
      </c>
      <c r="H18" s="8" t="n">
        <v>0</v>
      </c>
      <c r="I18" s="8" t="inlineStr">
        <is>
          <t>ESIC wage (23172.00) &gt; ₹21000.00 statutory ceiling — employee is exempt under current config.</t>
        </is>
      </c>
      <c r="J18" s="8" t="inlineStr">
        <is>
          <t>no</t>
        </is>
      </c>
      <c r="K18" s="9" t="n"/>
      <c r="L18" s="9" t="n"/>
      <c r="M18" s="9" t="n"/>
      <c r="N18" s="9" t="n"/>
    </row>
    <row r="19">
      <c r="A19" s="8" t="inlineStr">
        <is>
          <t>E008</t>
        </is>
      </c>
      <c r="B19" s="8" t="inlineStr">
        <is>
          <t>Karthik Patil</t>
        </is>
      </c>
      <c r="C19" s="8" t="inlineStr">
        <is>
          <t>STAT-005</t>
        </is>
      </c>
      <c r="D19" s="8" t="inlineStr">
        <is>
          <t>ESIC Ineligible — Above ₹21000.00</t>
        </is>
      </c>
      <c r="E19" s="8" t="inlineStr">
        <is>
          <t>INFO</t>
        </is>
      </c>
      <c r="F19" s="8" t="inlineStr">
        <is>
          <t>≤ ₹21000.00</t>
        </is>
      </c>
      <c r="G19" s="8" t="inlineStr">
        <is>
          <t>26100.00</t>
        </is>
      </c>
      <c r="H19" s="8" t="n">
        <v>0</v>
      </c>
      <c r="I19" s="8" t="inlineStr">
        <is>
          <t>ESIC wage (26100.00) &gt; ₹21000.00 statutory ceiling — employee is exempt under current config.</t>
        </is>
      </c>
      <c r="J19" s="8" t="inlineStr">
        <is>
          <t>no</t>
        </is>
      </c>
      <c r="K19" s="9" t="n"/>
      <c r="L19" s="9" t="n"/>
      <c r="M19" s="9" t="n"/>
      <c r="N19" s="9" t="n"/>
    </row>
    <row r="20">
      <c r="A20" s="8" t="inlineStr">
        <is>
          <t>E009</t>
        </is>
      </c>
      <c r="B20" s="8" t="inlineStr">
        <is>
          <t>Divya Gupta</t>
        </is>
      </c>
      <c r="C20" s="8" t="inlineStr">
        <is>
          <t>STAT-005</t>
        </is>
      </c>
      <c r="D20" s="8" t="inlineStr">
        <is>
          <t>ESIC Ineligible — Above ₹21000.00</t>
        </is>
      </c>
      <c r="E20" s="8" t="inlineStr">
        <is>
          <t>INFO</t>
        </is>
      </c>
      <c r="F20" s="8" t="inlineStr">
        <is>
          <t>≤ ₹21000.00</t>
        </is>
      </c>
      <c r="G20" s="8" t="inlineStr">
        <is>
          <t>27850.00</t>
        </is>
      </c>
      <c r="H20" s="8" t="n">
        <v>0</v>
      </c>
      <c r="I20" s="8" t="inlineStr">
        <is>
          <t>ESIC wage (27850.00) &gt; ₹21000.00 statutory ceiling — employee is exempt under current config.</t>
        </is>
      </c>
      <c r="J20" s="8" t="inlineStr">
        <is>
          <t>no</t>
        </is>
      </c>
      <c r="K20" s="9" t="n"/>
      <c r="L20" s="9" t="n"/>
      <c r="M20" s="9" t="n"/>
      <c r="N20" s="9" t="n"/>
    </row>
    <row r="21">
      <c r="A21" s="8" t="inlineStr">
        <is>
          <t>E010</t>
        </is>
      </c>
      <c r="B21" s="8" t="inlineStr">
        <is>
          <t>Rohan Menon</t>
        </is>
      </c>
      <c r="C21" s="8" t="inlineStr">
        <is>
          <t>STAT-005</t>
        </is>
      </c>
      <c r="D21" s="8" t="inlineStr">
        <is>
          <t>ESIC Ineligible — Above ₹21000.00</t>
        </is>
      </c>
      <c r="E21" s="8" t="inlineStr">
        <is>
          <t>INFO</t>
        </is>
      </c>
      <c r="F21" s="8" t="inlineStr">
        <is>
          <t>≤ ₹21000.00</t>
        </is>
      </c>
      <c r="G21" s="8" t="inlineStr">
        <is>
          <t>29600.00</t>
        </is>
      </c>
      <c r="H21" s="8" t="n">
        <v>0</v>
      </c>
      <c r="I21" s="8" t="inlineStr">
        <is>
          <t>ESIC wage (29600.00) &gt; ₹21000.00 statutory ceiling — employee is exempt under current config.</t>
        </is>
      </c>
      <c r="J21" s="8" t="inlineStr">
        <is>
          <t>no</t>
        </is>
      </c>
      <c r="K21" s="9" t="n"/>
      <c r="L21" s="9" t="n"/>
      <c r="M21" s="9" t="n"/>
      <c r="N21" s="9" t="n"/>
    </row>
    <row r="22">
      <c r="A22" s="8" t="inlineStr">
        <is>
          <t>E011</t>
        </is>
      </c>
      <c r="B22" s="8" t="inlineStr">
        <is>
          <t>Meera Singh</t>
        </is>
      </c>
      <c r="C22" s="8" t="inlineStr">
        <is>
          <t>STAT-005</t>
        </is>
      </c>
      <c r="D22" s="8" t="inlineStr">
        <is>
          <t>ESIC Ineligible — Above ₹21000.00</t>
        </is>
      </c>
      <c r="E22" s="8" t="inlineStr">
        <is>
          <t>INFO</t>
        </is>
      </c>
      <c r="F22" s="8" t="inlineStr">
        <is>
          <t>≤ ₹21000.00</t>
        </is>
      </c>
      <c r="G22" s="8" t="inlineStr">
        <is>
          <t>31350.00</t>
        </is>
      </c>
      <c r="H22" s="8" t="n">
        <v>0</v>
      </c>
      <c r="I22" s="8" t="inlineStr">
        <is>
          <t>ESIC wage (31350.00) &gt; ₹21000.00 statutory ceiling — employee is exempt under current config.</t>
        </is>
      </c>
      <c r="J22" s="8" t="inlineStr">
        <is>
          <t>no</t>
        </is>
      </c>
      <c r="K22" s="9" t="n"/>
      <c r="L22" s="9" t="n"/>
      <c r="M22" s="9" t="n"/>
      <c r="N22" s="9" t="n"/>
    </row>
    <row r="23">
      <c r="A23" s="8" t="inlineStr">
        <is>
          <t>E012</t>
        </is>
      </c>
      <c r="B23" s="8" t="inlineStr">
        <is>
          <t>Sanjay Iyer</t>
        </is>
      </c>
      <c r="C23" s="8" t="inlineStr">
        <is>
          <t>STAT-005</t>
        </is>
      </c>
      <c r="D23" s="8" t="inlineStr">
        <is>
          <t>ESIC Ineligible — Above ₹21000.00</t>
        </is>
      </c>
      <c r="E23" s="8" t="inlineStr">
        <is>
          <t>INFO</t>
        </is>
      </c>
      <c r="F23" s="8" t="inlineStr">
        <is>
          <t>≤ ₹21000.00</t>
        </is>
      </c>
      <c r="G23" s="8" t="inlineStr">
        <is>
          <t>28829.00</t>
        </is>
      </c>
      <c r="H23" s="8" t="n">
        <v>0</v>
      </c>
      <c r="I23" s="8" t="inlineStr">
        <is>
          <t>ESIC wage (28829.00) &gt; ₹21000.00 statutory ceiling — employee is exempt under current config.</t>
        </is>
      </c>
      <c r="J23" s="8" t="inlineStr">
        <is>
          <t>no</t>
        </is>
      </c>
      <c r="K23" s="9" t="n"/>
      <c r="L23" s="9" t="n"/>
      <c r="M23" s="9" t="n"/>
      <c r="N23" s="9" t="n"/>
    </row>
    <row r="24">
      <c r="A24" s="8" t="inlineStr">
        <is>
          <t>E013</t>
        </is>
      </c>
      <c r="B24" s="8" t="inlineStr">
        <is>
          <t>Pooja Kulkarni</t>
        </is>
      </c>
      <c r="C24" s="8" t="inlineStr">
        <is>
          <t>STAT-005</t>
        </is>
      </c>
      <c r="D24" s="8" t="inlineStr">
        <is>
          <t>ESIC Ineligible — Above ₹21000.00</t>
        </is>
      </c>
      <c r="E24" s="8" t="inlineStr">
        <is>
          <t>INFO</t>
        </is>
      </c>
      <c r="F24" s="8" t="inlineStr">
        <is>
          <t>≤ ₹21000.00</t>
        </is>
      </c>
      <c r="G24" s="8" t="inlineStr">
        <is>
          <t>36600.00</t>
        </is>
      </c>
      <c r="H24" s="8" t="n">
        <v>0</v>
      </c>
      <c r="I24" s="8" t="inlineStr">
        <is>
          <t>ESIC wage (36600.00) &gt; ₹21000.00 statutory ceiling — employee is exempt under current config.</t>
        </is>
      </c>
      <c r="J24" s="8" t="inlineStr">
        <is>
          <t>no</t>
        </is>
      </c>
      <c r="K24" s="9" t="n"/>
      <c r="L24" s="9" t="n"/>
      <c r="M24" s="9" t="n"/>
      <c r="N24" s="9" t="n"/>
    </row>
    <row r="25">
      <c r="A25" s="8" t="inlineStr">
        <is>
          <t>E014</t>
        </is>
      </c>
      <c r="B25" s="8" t="inlineStr">
        <is>
          <t>Aditya Nair</t>
        </is>
      </c>
      <c r="C25" s="8" t="inlineStr">
        <is>
          <t>STAT-005</t>
        </is>
      </c>
      <c r="D25" s="8" t="inlineStr">
        <is>
          <t>ESIC Ineligible — Above ₹21000.00</t>
        </is>
      </c>
      <c r="E25" s="8" t="inlineStr">
        <is>
          <t>INFO</t>
        </is>
      </c>
      <c r="F25" s="8" t="inlineStr">
        <is>
          <t>≤ ₹21000.00</t>
        </is>
      </c>
      <c r="G25" s="8" t="inlineStr">
        <is>
          <t>40100.00</t>
        </is>
      </c>
      <c r="H25" s="8" t="n">
        <v>0</v>
      </c>
      <c r="I25" s="8" t="inlineStr">
        <is>
          <t>ESIC wage (40100.00) &gt; ₹21000.00 statutory ceiling — employee is exempt under current config.</t>
        </is>
      </c>
      <c r="J25" s="8" t="inlineStr">
        <is>
          <t>no</t>
        </is>
      </c>
      <c r="K25" s="9" t="n"/>
      <c r="L25" s="9" t="n"/>
      <c r="M25" s="9" t="n"/>
      <c r="N25" s="9" t="n"/>
    </row>
    <row r="26">
      <c r="A26" s="8" t="inlineStr">
        <is>
          <t>E015</t>
        </is>
      </c>
      <c r="B26" s="8" t="inlineStr">
        <is>
          <t>Kavya Reddy</t>
        </is>
      </c>
      <c r="C26" s="8" t="inlineStr">
        <is>
          <t>STAT-005</t>
        </is>
      </c>
      <c r="D26" s="8" t="inlineStr">
        <is>
          <t>ESIC Ineligible — Above ₹21000.00</t>
        </is>
      </c>
      <c r="E26" s="8" t="inlineStr">
        <is>
          <t>INFO</t>
        </is>
      </c>
      <c r="F26" s="8" t="inlineStr">
        <is>
          <t>≤ ₹21000.00</t>
        </is>
      </c>
      <c r="G26" s="8" t="inlineStr">
        <is>
          <t>43600.00</t>
        </is>
      </c>
      <c r="H26" s="8" t="n">
        <v>0</v>
      </c>
      <c r="I26" s="8" t="inlineStr">
        <is>
          <t>ESIC wage (43600.00) &gt; ₹21000.00 statutory ceiling — employee is exempt under current config.</t>
        </is>
      </c>
      <c r="J26" s="8" t="inlineStr">
        <is>
          <t>no</t>
        </is>
      </c>
      <c r="K26" s="9" t="n"/>
      <c r="L26" s="9" t="n"/>
      <c r="M26" s="9" t="n"/>
      <c r="N26" s="9" t="n"/>
    </row>
    <row r="27">
      <c r="A27" s="8" t="inlineStr">
        <is>
          <t>E016</t>
        </is>
      </c>
      <c r="B27" s="8" t="inlineStr">
        <is>
          <t>Manish Shetty</t>
        </is>
      </c>
      <c r="C27" s="8" t="inlineStr">
        <is>
          <t>STAT-005</t>
        </is>
      </c>
      <c r="D27" s="8" t="inlineStr">
        <is>
          <t>ESIC Ineligible — Above ₹21000.00</t>
        </is>
      </c>
      <c r="E27" s="8" t="inlineStr">
        <is>
          <t>INFO</t>
        </is>
      </c>
      <c r="F27" s="8" t="inlineStr">
        <is>
          <t>≤ ₹21000.00</t>
        </is>
      </c>
      <c r="G27" s="8" t="inlineStr">
        <is>
          <t>45350.00</t>
        </is>
      </c>
      <c r="H27" s="8" t="n">
        <v>0</v>
      </c>
      <c r="I27" s="8" t="inlineStr">
        <is>
          <t>ESIC wage (45350.00) &gt; ₹21000.00 statutory ceiling — employee is exempt under current config.</t>
        </is>
      </c>
      <c r="J27" s="8" t="inlineStr">
        <is>
          <t>no</t>
        </is>
      </c>
      <c r="K27" s="9" t="n"/>
      <c r="L27" s="9" t="n"/>
      <c r="M27" s="9" t="n"/>
      <c r="N27" s="9" t="n"/>
    </row>
    <row r="28">
      <c r="A28" s="8" t="inlineStr">
        <is>
          <t>E017</t>
        </is>
      </c>
      <c r="B28" s="8" t="inlineStr">
        <is>
          <t>Anita Verma</t>
        </is>
      </c>
      <c r="C28" s="8" t="inlineStr">
        <is>
          <t>STAT-005</t>
        </is>
      </c>
      <c r="D28" s="8" t="inlineStr">
        <is>
          <t>ESIC Ineligible — Above ₹21000.00</t>
        </is>
      </c>
      <c r="E28" s="8" t="inlineStr">
        <is>
          <t>INFO</t>
        </is>
      </c>
      <c r="F28" s="8" t="inlineStr">
        <is>
          <t>≤ ₹21000.00</t>
        </is>
      </c>
      <c r="G28" s="8" t="inlineStr">
        <is>
          <t>47100.00</t>
        </is>
      </c>
      <c r="H28" s="8" t="n">
        <v>0</v>
      </c>
      <c r="I28" s="8" t="inlineStr">
        <is>
          <t>ESIC wage (47100.00) &gt; ₹21000.00 statutory ceiling — employee is exempt under current config.</t>
        </is>
      </c>
      <c r="J28" s="8" t="inlineStr">
        <is>
          <t>no</t>
        </is>
      </c>
      <c r="K28" s="9" t="n"/>
      <c r="L28" s="9" t="n"/>
      <c r="M28" s="9" t="n"/>
      <c r="N28" s="9" t="n"/>
    </row>
    <row r="29">
      <c r="A29" s="8" t="inlineStr">
        <is>
          <t>E018</t>
        </is>
      </c>
      <c r="B29" s="8" t="inlineStr">
        <is>
          <t>Suresh Patil</t>
        </is>
      </c>
      <c r="C29" s="8" t="inlineStr">
        <is>
          <t>STAT-005</t>
        </is>
      </c>
      <c r="D29" s="8" t="inlineStr">
        <is>
          <t>ESIC Ineligible — Above ₹21000.00</t>
        </is>
      </c>
      <c r="E29" s="8" t="inlineStr">
        <is>
          <t>INFO</t>
        </is>
      </c>
      <c r="F29" s="8" t="inlineStr">
        <is>
          <t>≤ ₹21000.00</t>
        </is>
      </c>
      <c r="G29" s="8" t="inlineStr">
        <is>
          <t>50600.00</t>
        </is>
      </c>
      <c r="H29" s="8" t="n">
        <v>0</v>
      </c>
      <c r="I29" s="8" t="inlineStr">
        <is>
          <t>ESIC wage (50600.00) &gt; ₹21000.00 statutory ceiling — employee is exempt under current config.</t>
        </is>
      </c>
      <c r="J29" s="8" t="inlineStr">
        <is>
          <t>no</t>
        </is>
      </c>
      <c r="K29" s="9" t="n"/>
      <c r="L29" s="9" t="n"/>
      <c r="M29" s="9" t="n"/>
      <c r="N29" s="9" t="n"/>
    </row>
    <row r="30">
      <c r="A30" s="8" t="inlineStr">
        <is>
          <t>E019</t>
        </is>
      </c>
      <c r="B30" s="8" t="inlineStr">
        <is>
          <t>Lakshmi Gupta</t>
        </is>
      </c>
      <c r="C30" s="8" t="inlineStr">
        <is>
          <t>STAT-005</t>
        </is>
      </c>
      <c r="D30" s="8" t="inlineStr">
        <is>
          <t>ESIC Ineligible — Above ₹21000.00</t>
        </is>
      </c>
      <c r="E30" s="8" t="inlineStr">
        <is>
          <t>INFO</t>
        </is>
      </c>
      <c r="F30" s="8" t="inlineStr">
        <is>
          <t>≤ ₹21000.00</t>
        </is>
      </c>
      <c r="G30" s="8" t="inlineStr">
        <is>
          <t>54100.00</t>
        </is>
      </c>
      <c r="H30" s="8" t="n">
        <v>0</v>
      </c>
      <c r="I30" s="8" t="inlineStr">
        <is>
          <t>ESIC wage (54100.00) &gt; ₹21000.00 statutory ceiling — employee is exempt under current config.</t>
        </is>
      </c>
      <c r="J30" s="8" t="inlineStr">
        <is>
          <t>no</t>
        </is>
      </c>
      <c r="K30" s="9" t="n"/>
      <c r="L30" s="9" t="n"/>
      <c r="M30" s="9" t="n"/>
      <c r="N30" s="9" t="n"/>
    </row>
    <row r="31">
      <c r="A31" s="8" t="inlineStr">
        <is>
          <t>E020</t>
        </is>
      </c>
      <c r="B31" s="8" t="inlineStr">
        <is>
          <t>Nikhil Menon</t>
        </is>
      </c>
      <c r="C31" s="8" t="inlineStr">
        <is>
          <t>STAT-005</t>
        </is>
      </c>
      <c r="D31" s="8" t="inlineStr">
        <is>
          <t>ESIC Ineligible — Above ₹21000.00</t>
        </is>
      </c>
      <c r="E31" s="8" t="inlineStr">
        <is>
          <t>INFO</t>
        </is>
      </c>
      <c r="F31" s="8" t="inlineStr">
        <is>
          <t>≤ ₹21000.00</t>
        </is>
      </c>
      <c r="G31" s="8" t="inlineStr">
        <is>
          <t>57600.00</t>
        </is>
      </c>
      <c r="H31" s="8" t="n">
        <v>0</v>
      </c>
      <c r="I31" s="8" t="inlineStr">
        <is>
          <t>ESIC wage (57600.00) &gt; ₹21000.00 statutory ceiling — employee is exempt under current config.</t>
        </is>
      </c>
      <c r="J31" s="8" t="inlineStr">
        <is>
          <t>no</t>
        </is>
      </c>
      <c r="K31" s="9" t="n"/>
      <c r="L31" s="9" t="n"/>
      <c r="M31" s="9" t="n"/>
      <c r="N31" s="9" t="n"/>
    </row>
    <row r="32">
      <c r="A32" s="8" t="inlineStr">
        <is>
          <t>E021</t>
        </is>
      </c>
      <c r="B32" s="8" t="inlineStr">
        <is>
          <t>Asha Singh</t>
        </is>
      </c>
      <c r="C32" s="8" t="inlineStr">
        <is>
          <t>STAT-005</t>
        </is>
      </c>
      <c r="D32" s="8" t="inlineStr">
        <is>
          <t>ESIC Ineligible — Above ₹21000.00</t>
        </is>
      </c>
      <c r="E32" s="8" t="inlineStr">
        <is>
          <t>INFO</t>
        </is>
      </c>
      <c r="F32" s="8" t="inlineStr">
        <is>
          <t>≤ ₹21000.00</t>
        </is>
      </c>
      <c r="G32" s="8" t="inlineStr">
        <is>
          <t>62850.00</t>
        </is>
      </c>
      <c r="H32" s="8" t="n">
        <v>0</v>
      </c>
      <c r="I32" s="8" t="inlineStr">
        <is>
          <t>ESIC wage (62850.00) &gt; ₹21000.00 statutory ceiling — employee is exempt under current config.</t>
        </is>
      </c>
      <c r="J32" s="8" t="inlineStr">
        <is>
          <t>no</t>
        </is>
      </c>
      <c r="K32" s="9" t="n"/>
      <c r="L32" s="9" t="n"/>
      <c r="M32" s="9" t="n"/>
      <c r="N32" s="9" t="n"/>
    </row>
    <row r="33">
      <c r="A33" s="8" t="inlineStr">
        <is>
          <t>E022</t>
        </is>
      </c>
      <c r="B33" s="8" t="inlineStr">
        <is>
          <t>Rahul Iyer</t>
        </is>
      </c>
      <c r="C33" s="8" t="inlineStr">
        <is>
          <t>STAT-005</t>
        </is>
      </c>
      <c r="D33" s="8" t="inlineStr">
        <is>
          <t>ESIC Ineligible — Above ₹21000.00</t>
        </is>
      </c>
      <c r="E33" s="8" t="inlineStr">
        <is>
          <t>INFO</t>
        </is>
      </c>
      <c r="F33" s="8" t="inlineStr">
        <is>
          <t>≤ ₹21000.00</t>
        </is>
      </c>
      <c r="G33" s="8" t="inlineStr">
        <is>
          <t>68100.00</t>
        </is>
      </c>
      <c r="H33" s="8" t="n">
        <v>0</v>
      </c>
      <c r="I33" s="8" t="inlineStr">
        <is>
          <t>ESIC wage (68100.00) &gt; ₹21000.00 statutory ceiling — employee is exempt under current config.</t>
        </is>
      </c>
      <c r="J33" s="8" t="inlineStr">
        <is>
          <t>no</t>
        </is>
      </c>
      <c r="K33" s="9" t="n"/>
      <c r="L33" s="9" t="n"/>
      <c r="M33" s="9" t="n"/>
      <c r="N33" s="9" t="n"/>
    </row>
    <row r="34">
      <c r="A34" s="8" t="inlineStr">
        <is>
          <t>E023</t>
        </is>
      </c>
      <c r="B34" s="8" t="inlineStr">
        <is>
          <t>Priya Kulkarni</t>
        </is>
      </c>
      <c r="C34" s="8" t="inlineStr">
        <is>
          <t>STAT-005</t>
        </is>
      </c>
      <c r="D34" s="8" t="inlineStr">
        <is>
          <t>ESIC Ineligible — Above ₹21000.00</t>
        </is>
      </c>
      <c r="E34" s="8" t="inlineStr">
        <is>
          <t>INFO</t>
        </is>
      </c>
      <c r="F34" s="8" t="inlineStr">
        <is>
          <t>≤ ₹21000.00</t>
        </is>
      </c>
      <c r="G34" s="8" t="inlineStr">
        <is>
          <t>71600.00</t>
        </is>
      </c>
      <c r="H34" s="8" t="n">
        <v>0</v>
      </c>
      <c r="I34" s="8" t="inlineStr">
        <is>
          <t>ESIC wage (71600.00) &gt; ₹21000.00 statutory ceiling — employee is exempt under current config.</t>
        </is>
      </c>
      <c r="J34" s="8" t="inlineStr">
        <is>
          <t>no</t>
        </is>
      </c>
      <c r="K34" s="9" t="n"/>
      <c r="L34" s="9" t="n"/>
      <c r="M34" s="9" t="n"/>
      <c r="N34" s="9" t="n"/>
    </row>
    <row r="35">
      <c r="A35" s="8" t="inlineStr">
        <is>
          <t>E024</t>
        </is>
      </c>
      <c r="B35" s="8" t="inlineStr">
        <is>
          <t>Vikram Nair</t>
        </is>
      </c>
      <c r="C35" s="8" t="inlineStr">
        <is>
          <t>STAT-005</t>
        </is>
      </c>
      <c r="D35" s="8" t="inlineStr">
        <is>
          <t>ESIC Ineligible — Above ₹21000.00</t>
        </is>
      </c>
      <c r="E35" s="8" t="inlineStr">
        <is>
          <t>INFO</t>
        </is>
      </c>
      <c r="F35" s="8" t="inlineStr">
        <is>
          <t>≤ ₹21000.00</t>
        </is>
      </c>
      <c r="G35" s="8" t="inlineStr">
        <is>
          <t>80350.00</t>
        </is>
      </c>
      <c r="H35" s="8" t="n">
        <v>0</v>
      </c>
      <c r="I35" s="8" t="inlineStr">
        <is>
          <t>ESIC wage (80350.00) &gt; ₹21000.00 statutory ceiling — employee is exempt under current config.</t>
        </is>
      </c>
      <c r="J35" s="8" t="inlineStr">
        <is>
          <t>no</t>
        </is>
      </c>
      <c r="K35" s="9" t="n"/>
      <c r="L35" s="9" t="n"/>
      <c r="M35" s="9" t="n"/>
      <c r="N35" s="9" t="n"/>
    </row>
    <row r="36">
      <c r="A36" s="8" t="inlineStr">
        <is>
          <t>E025</t>
        </is>
      </c>
      <c r="B36" s="8" t="inlineStr">
        <is>
          <t>Neha Reddy</t>
        </is>
      </c>
      <c r="C36" s="8" t="inlineStr">
        <is>
          <t>STAT-005</t>
        </is>
      </c>
      <c r="D36" s="8" t="inlineStr">
        <is>
          <t>ESIC Ineligible — Above ₹21000.00</t>
        </is>
      </c>
      <c r="E36" s="8" t="inlineStr">
        <is>
          <t>INFO</t>
        </is>
      </c>
      <c r="F36" s="8" t="inlineStr">
        <is>
          <t>≤ ₹21000.00</t>
        </is>
      </c>
      <c r="G36" s="8" t="inlineStr">
        <is>
          <t>89100.00</t>
        </is>
      </c>
      <c r="H36" s="8" t="n">
        <v>0</v>
      </c>
      <c r="I36" s="8" t="inlineStr">
        <is>
          <t>ESIC wage (89100.00) &gt; ₹21000.00 statutory ceiling — employee is exempt under current config.</t>
        </is>
      </c>
      <c r="J36" s="8" t="inlineStr">
        <is>
          <t>no</t>
        </is>
      </c>
      <c r="K36" s="9" t="n"/>
      <c r="L36" s="9" t="n"/>
      <c r="M36" s="9" t="n"/>
      <c r="N36" s="9" t="n"/>
    </row>
    <row r="37">
      <c r="A37" s="8" t="inlineStr">
        <is>
          <t>E026</t>
        </is>
      </c>
      <c r="B37" s="8" t="inlineStr">
        <is>
          <t>Arjun Shetty</t>
        </is>
      </c>
      <c r="C37" s="8" t="inlineStr">
        <is>
          <t>STAT-005</t>
        </is>
      </c>
      <c r="D37" s="8" t="inlineStr">
        <is>
          <t>ESIC Ineligible — Above ₹21000.00</t>
        </is>
      </c>
      <c r="E37" s="8" t="inlineStr">
        <is>
          <t>INFO</t>
        </is>
      </c>
      <c r="F37" s="8" t="inlineStr">
        <is>
          <t>≤ ₹21000.00</t>
        </is>
      </c>
      <c r="G37" s="8" t="inlineStr">
        <is>
          <t>97850.00</t>
        </is>
      </c>
      <c r="H37" s="8" t="n">
        <v>0</v>
      </c>
      <c r="I37" s="8" t="inlineStr">
        <is>
          <t>ESIC wage (97850.00) &gt; ₹21000.00 statutory ceiling — employee is exempt under current config.</t>
        </is>
      </c>
      <c r="J37" s="8" t="inlineStr">
        <is>
          <t>no</t>
        </is>
      </c>
      <c r="K37" s="9" t="n"/>
      <c r="L37" s="9" t="n"/>
      <c r="M37" s="9" t="n"/>
      <c r="N37" s="9" t="n"/>
    </row>
    <row r="38">
      <c r="A38" s="8" t="inlineStr">
        <is>
          <t>E027</t>
        </is>
      </c>
      <c r="B38" s="8" t="inlineStr">
        <is>
          <t>Sneha Verma</t>
        </is>
      </c>
      <c r="C38" s="8" t="inlineStr">
        <is>
          <t>STAT-005</t>
        </is>
      </c>
      <c r="D38" s="8" t="inlineStr">
        <is>
          <t>ESIC Ineligible — Above ₹21000.00</t>
        </is>
      </c>
      <c r="E38" s="8" t="inlineStr">
        <is>
          <t>INFO</t>
        </is>
      </c>
      <c r="F38" s="8" t="inlineStr">
        <is>
          <t>≤ ₹21000.00</t>
        </is>
      </c>
      <c r="G38" s="8" t="inlineStr">
        <is>
          <t>106600.00</t>
        </is>
      </c>
      <c r="H38" s="8" t="n">
        <v>0</v>
      </c>
      <c r="I38" s="8" t="inlineStr">
        <is>
          <t>ESIC wage (106600.00) &gt; ₹21000.00 statutory ceiling — employee is exempt under current config.</t>
        </is>
      </c>
      <c r="J38" s="8" t="inlineStr">
        <is>
          <t>no</t>
        </is>
      </c>
      <c r="K38" s="9" t="n"/>
      <c r="L38" s="9" t="n"/>
      <c r="M38" s="9" t="n"/>
      <c r="N38" s="9" t="n"/>
    </row>
    <row r="39">
      <c r="A39" s="8" t="inlineStr">
        <is>
          <t>E028</t>
        </is>
      </c>
      <c r="B39" s="8" t="inlineStr">
        <is>
          <t>Karthik Patil</t>
        </is>
      </c>
      <c r="C39" s="8" t="inlineStr">
        <is>
          <t>STAT-005</t>
        </is>
      </c>
      <c r="D39" s="8" t="inlineStr">
        <is>
          <t>ESIC Ineligible — Above ₹21000.00</t>
        </is>
      </c>
      <c r="E39" s="8" t="inlineStr">
        <is>
          <t>INFO</t>
        </is>
      </c>
      <c r="F39" s="8" t="inlineStr">
        <is>
          <t>≤ ₹21000.00</t>
        </is>
      </c>
      <c r="G39" s="8" t="inlineStr">
        <is>
          <t>115350.00</t>
        </is>
      </c>
      <c r="H39" s="8" t="n">
        <v>0</v>
      </c>
      <c r="I39" s="8" t="inlineStr">
        <is>
          <t>ESIC wage (115350.00) &gt; ₹21000.00 statutory ceiling — employee is exempt under current config.</t>
        </is>
      </c>
      <c r="J39" s="8" t="inlineStr">
        <is>
          <t>no</t>
        </is>
      </c>
      <c r="K39" s="9" t="n"/>
      <c r="L39" s="9" t="n"/>
      <c r="M39" s="9" t="n"/>
      <c r="N39" s="9" t="n"/>
    </row>
    <row r="40">
      <c r="A40" s="8" t="inlineStr">
        <is>
          <t>E029</t>
        </is>
      </c>
      <c r="B40" s="8" t="inlineStr">
        <is>
          <t>Divya Gupta</t>
        </is>
      </c>
      <c r="C40" s="8" t="inlineStr">
        <is>
          <t>STAT-005</t>
        </is>
      </c>
      <c r="D40" s="8" t="inlineStr">
        <is>
          <t>ESIC Ineligible — Above ₹21000.00</t>
        </is>
      </c>
      <c r="E40" s="8" t="inlineStr">
        <is>
          <t>INFO</t>
        </is>
      </c>
      <c r="F40" s="8" t="inlineStr">
        <is>
          <t>≤ ₹21000.00</t>
        </is>
      </c>
      <c r="G40" s="8" t="inlineStr">
        <is>
          <t>129100.00</t>
        </is>
      </c>
      <c r="H40" s="8" t="n">
        <v>0</v>
      </c>
      <c r="I40" s="8" t="inlineStr">
        <is>
          <t>ESIC wage (129100.00) &gt; ₹21000.00 statutory ceiling — employee is exempt under current config.</t>
        </is>
      </c>
      <c r="J40" s="8" t="inlineStr">
        <is>
          <t>no</t>
        </is>
      </c>
      <c r="K40" s="9" t="n"/>
      <c r="L40" s="9" t="n"/>
      <c r="M40" s="9" t="n"/>
      <c r="N40" s="9" t="n"/>
    </row>
    <row r="41">
      <c r="A41" s="8" t="inlineStr">
        <is>
          <t>E030</t>
        </is>
      </c>
      <c r="B41" s="8" t="inlineStr">
        <is>
          <t>Rohan Menon</t>
        </is>
      </c>
      <c r="C41" s="8" t="inlineStr">
        <is>
          <t>STAT-005</t>
        </is>
      </c>
      <c r="D41" s="8" t="inlineStr">
        <is>
          <t>ESIC Ineligible — Above ₹21000.00</t>
        </is>
      </c>
      <c r="E41" s="8" t="inlineStr">
        <is>
          <t>INFO</t>
        </is>
      </c>
      <c r="F41" s="8" t="inlineStr">
        <is>
          <t>≤ ₹21000.00</t>
        </is>
      </c>
      <c r="G41" s="8" t="inlineStr">
        <is>
          <t>142475.00</t>
        </is>
      </c>
      <c r="H41" s="8" t="n">
        <v>0</v>
      </c>
      <c r="I41" s="8" t="inlineStr">
        <is>
          <t>ESIC wage (142475.00) &gt; ₹21000.00 statutory ceiling — employee is exempt under current config.</t>
        </is>
      </c>
      <c r="J41" s="8" t="inlineStr">
        <is>
          <t>no</t>
        </is>
      </c>
      <c r="K41" s="9" t="n"/>
      <c r="L41" s="9" t="n"/>
      <c r="M41" s="9" t="n"/>
      <c r="N41" s="9" t="n"/>
    </row>
    <row r="42">
      <c r="A42" s="8" t="inlineStr">
        <is>
          <t>E035</t>
        </is>
      </c>
      <c r="B42" s="8" t="inlineStr">
        <is>
          <t>Kavya Reddy</t>
        </is>
      </c>
      <c r="C42" s="8" t="inlineStr">
        <is>
          <t>STAT-005</t>
        </is>
      </c>
      <c r="D42" s="8" t="inlineStr">
        <is>
          <t>ESIC Ineligible — Above ₹21000.00</t>
        </is>
      </c>
      <c r="E42" s="8" t="inlineStr">
        <is>
          <t>INFO</t>
        </is>
      </c>
      <c r="F42" s="8" t="inlineStr">
        <is>
          <t>≤ ₹21000.00</t>
        </is>
      </c>
      <c r="G42" s="8" t="inlineStr">
        <is>
          <t>21725.00</t>
        </is>
      </c>
      <c r="H42" s="8" t="n">
        <v>0</v>
      </c>
      <c r="I42" s="8" t="inlineStr">
        <is>
          <t>ESIC wage (21725.00) &gt; ₹21000.00 statutory ceiling — employee is exempt under current config.</t>
        </is>
      </c>
      <c r="J42" s="8" t="inlineStr">
        <is>
          <t>no</t>
        </is>
      </c>
      <c r="K42" s="9" t="n"/>
      <c r="L42" s="9" t="n"/>
      <c r="M42" s="9" t="n"/>
      <c r="N42" s="9" t="n"/>
    </row>
    <row r="43">
      <c r="A43" s="8" t="inlineStr">
        <is>
          <t>E036</t>
        </is>
      </c>
      <c r="B43" s="8" t="inlineStr">
        <is>
          <t>Manish Shetty</t>
        </is>
      </c>
      <c r="C43" s="8" t="inlineStr">
        <is>
          <t>STAT-005</t>
        </is>
      </c>
      <c r="D43" s="8" t="inlineStr">
        <is>
          <t>ESIC Ineligible — Above ₹21000.00</t>
        </is>
      </c>
      <c r="E43" s="8" t="inlineStr">
        <is>
          <t>INFO</t>
        </is>
      </c>
      <c r="F43" s="8" t="inlineStr">
        <is>
          <t>≤ ₹21000.00</t>
        </is>
      </c>
      <c r="G43" s="8" t="inlineStr">
        <is>
          <t>23475.00</t>
        </is>
      </c>
      <c r="H43" s="8" t="n">
        <v>0</v>
      </c>
      <c r="I43" s="8" t="inlineStr">
        <is>
          <t>ESIC wage (23475.00) &gt; ₹21000.00 statutory ceiling — employee is exempt under current config.</t>
        </is>
      </c>
      <c r="J43" s="8" t="inlineStr">
        <is>
          <t>no</t>
        </is>
      </c>
      <c r="K43" s="9" t="n"/>
      <c r="L43" s="9" t="n"/>
      <c r="M43" s="9" t="n"/>
      <c r="N43" s="9" t="n"/>
    </row>
    <row r="44">
      <c r="A44" s="8" t="inlineStr">
        <is>
          <t>E037</t>
        </is>
      </c>
      <c r="B44" s="8" t="inlineStr">
        <is>
          <t>Anita Verma</t>
        </is>
      </c>
      <c r="C44" s="8" t="inlineStr">
        <is>
          <t>STAT-005</t>
        </is>
      </c>
      <c r="D44" s="8" t="inlineStr">
        <is>
          <t>ESIC Ineligible — Above ₹21000.00</t>
        </is>
      </c>
      <c r="E44" s="8" t="inlineStr">
        <is>
          <t>INFO</t>
        </is>
      </c>
      <c r="F44" s="8" t="inlineStr">
        <is>
          <t>≤ ₹21000.00</t>
        </is>
      </c>
      <c r="G44" s="8" t="inlineStr">
        <is>
          <t>25225.00</t>
        </is>
      </c>
      <c r="H44" s="8" t="n">
        <v>0</v>
      </c>
      <c r="I44" s="8" t="inlineStr">
        <is>
          <t>ESIC wage (25225.00) &gt; ₹21000.00 statutory ceiling — employee is exempt under current config.</t>
        </is>
      </c>
      <c r="J44" s="8" t="inlineStr">
        <is>
          <t>no</t>
        </is>
      </c>
      <c r="K44" s="9" t="n"/>
      <c r="L44" s="9" t="n"/>
      <c r="M44" s="9" t="n"/>
      <c r="N44" s="9" t="n"/>
    </row>
    <row r="45">
      <c r="A45" s="8" t="inlineStr">
        <is>
          <t>E039</t>
        </is>
      </c>
      <c r="B45" s="8" t="inlineStr">
        <is>
          <t>Lakshmi Gupta</t>
        </is>
      </c>
      <c r="C45" s="8" t="inlineStr">
        <is>
          <t>STAT-005</t>
        </is>
      </c>
      <c r="D45" s="8" t="inlineStr">
        <is>
          <t>ESIC Ineligible — Above ₹21000.00</t>
        </is>
      </c>
      <c r="E45" s="8" t="inlineStr">
        <is>
          <t>INFO</t>
        </is>
      </c>
      <c r="F45" s="8" t="inlineStr">
        <is>
          <t>≤ ₹21000.00</t>
        </is>
      </c>
      <c r="G45" s="8" t="inlineStr">
        <is>
          <t>28725.00</t>
        </is>
      </c>
      <c r="H45" s="8" t="n">
        <v>0</v>
      </c>
      <c r="I45" s="8" t="inlineStr">
        <is>
          <t>ESIC wage (28725.00) &gt; ₹21000.00 statutory ceiling — employee is exempt under current config.</t>
        </is>
      </c>
      <c r="J45" s="8" t="inlineStr">
        <is>
          <t>no</t>
        </is>
      </c>
      <c r="K45" s="9" t="n"/>
      <c r="L45" s="9" t="n"/>
      <c r="M45" s="9" t="n"/>
      <c r="N45" s="9" t="n"/>
    </row>
    <row r="46">
      <c r="A46" s="8" t="inlineStr">
        <is>
          <t>E040</t>
        </is>
      </c>
      <c r="B46" s="8" t="inlineStr">
        <is>
          <t>Nikhil Menon</t>
        </is>
      </c>
      <c r="C46" s="8" t="inlineStr">
        <is>
          <t>STAT-005</t>
        </is>
      </c>
      <c r="D46" s="8" t="inlineStr">
        <is>
          <t>ESIC Ineligible — Above ₹21000.00</t>
        </is>
      </c>
      <c r="E46" s="8" t="inlineStr">
        <is>
          <t>INFO</t>
        </is>
      </c>
      <c r="F46" s="8" t="inlineStr">
        <is>
          <t>≤ ₹21000.00</t>
        </is>
      </c>
      <c r="G46" s="8" t="inlineStr">
        <is>
          <t>30475.00</t>
        </is>
      </c>
      <c r="H46" s="8" t="n">
        <v>0</v>
      </c>
      <c r="I46" s="8" t="inlineStr">
        <is>
          <t>ESIC wage (30475.00) &gt; ₹21000.00 statutory ceiling — employee is exempt under current config.</t>
        </is>
      </c>
      <c r="J46" s="8" t="inlineStr">
        <is>
          <t>no</t>
        </is>
      </c>
      <c r="K46" s="9" t="n"/>
      <c r="L46" s="9" t="n"/>
      <c r="M46" s="9" t="n"/>
      <c r="N46" s="9" t="n"/>
    </row>
    <row r="47">
      <c r="A47" s="8" t="inlineStr">
        <is>
          <t>E028</t>
        </is>
      </c>
      <c r="B47" s="8" t="inlineStr">
        <is>
          <t>Karthik Patil</t>
        </is>
      </c>
      <c r="C47" s="8" t="inlineStr">
        <is>
          <t>ATT-002</t>
        </is>
      </c>
      <c r="D47" s="8" t="inlineStr">
        <is>
          <t>LOP Differs From Attendance</t>
        </is>
      </c>
      <c r="E47" s="8" t="inlineStr">
        <is>
          <t>WARNING</t>
        </is>
      </c>
      <c r="F47" s="8" t="inlineStr">
        <is>
          <t>3.00</t>
        </is>
      </c>
      <c r="G47" s="8" t="inlineStr">
        <is>
          <t>0.0</t>
        </is>
      </c>
      <c r="H47" s="8" t="n">
        <v>0</v>
      </c>
      <c r="I47" s="8" t="inlineStr">
        <is>
          <t>Payroll applied 0.0 LOP days against 3.00 recorded.</t>
        </is>
      </c>
      <c r="J47" s="8" t="inlineStr">
        <is>
          <t>no</t>
        </is>
      </c>
      <c r="K47" s="9" t="n"/>
      <c r="L47" s="9" t="n"/>
      <c r="M47" s="9" t="n"/>
      <c r="N47" s="9" t="n"/>
    </row>
    <row r="48">
      <c r="A48" s="8" t="inlineStr">
        <is>
          <t>E036</t>
        </is>
      </c>
      <c r="B48" s="8" t="inlineStr">
        <is>
          <t>Manish Shetty</t>
        </is>
      </c>
      <c r="C48" s="8" t="inlineStr">
        <is>
          <t>ATT-022</t>
        </is>
      </c>
      <c r="D48" s="8" t="inlineStr">
        <is>
          <t>Overtime Worked But Not Paid</t>
        </is>
      </c>
      <c r="E48" s="8" t="inlineStr">
        <is>
          <t>WARNING</t>
        </is>
      </c>
      <c r="F48" s="8" t="inlineStr">
        <is>
          <t>&gt; 0 (2x ordinary)</t>
        </is>
      </c>
      <c r="G48" s="8" t="inlineStr">
        <is>
          <t>0</t>
        </is>
      </c>
      <c r="H48" s="8" t="n">
        <v>1514.52</v>
      </c>
      <c r="I48" s="8" t="inlineStr">
        <is>
          <t>8.00 overtime hours were recorded and the register carries no overtime payment. At 2× ordinary wages that is ₹1,514.52. Section 59 of the Factories Act requires twice ordinary wages for overtime.</t>
        </is>
      </c>
      <c r="J48" s="8" t="inlineStr">
        <is>
          <t>no</t>
        </is>
      </c>
      <c r="K48" s="9" t="n"/>
      <c r="L48" s="9" t="n"/>
      <c r="M48" s="9" t="n"/>
      <c r="N48" s="9" t="n"/>
    </row>
    <row r="49">
      <c r="A49" s="8" t="inlineStr">
        <is>
          <t>E029</t>
        </is>
      </c>
      <c r="B49" s="8" t="inlineStr">
        <is>
          <t>Divya Gupta</t>
        </is>
      </c>
      <c r="C49" s="8" t="inlineStr">
        <is>
          <t>LOP-002</t>
        </is>
      </c>
      <c r="D49" s="8" t="inlineStr">
        <is>
          <t>LOP Proration Mismatch</t>
        </is>
      </c>
      <c r="E49" s="8" t="inlineStr">
        <is>
          <t>WARNING</t>
        </is>
      </c>
      <c r="F49" s="8" t="inlineStr">
        <is>
          <t>70000.00</t>
        </is>
      </c>
      <c r="G49" s="8" t="inlineStr">
        <is>
          <t>75000.00</t>
        </is>
      </c>
      <c r="H49" s="8" t="n">
        <v>5000</v>
      </c>
      <c r="I49" s="8" t="inlineStr">
        <is>
          <t>'basic' prorated value should be 70000.00 (monthly × paid_days/31), got 75000.00 (diff 5000.00).</t>
        </is>
      </c>
      <c r="J49" s="8" t="inlineStr">
        <is>
          <t>no</t>
        </is>
      </c>
      <c r="K49" s="9" t="n"/>
      <c r="L49" s="9" t="n"/>
      <c r="M49" s="9" t="n"/>
      <c r="N49" s="9" t="n"/>
    </row>
    <row r="50">
      <c r="A50" s="8" t="inlineStr">
        <is>
          <t>E031</t>
        </is>
      </c>
      <c r="B50" s="8" t="inlineStr">
        <is>
          <t>Meera Singh</t>
        </is>
      </c>
      <c r="C50" s="8" t="inlineStr">
        <is>
          <t>MST-006</t>
        </is>
      </c>
      <c r="D50" s="8" t="inlineStr">
        <is>
          <t>Full Month Paid To A Mid-Month Joiner</t>
        </is>
      </c>
      <c r="E50" s="8" t="inlineStr">
        <is>
          <t>WARNING</t>
        </is>
      </c>
      <c r="F50" s="8" t="inlineStr">
        <is>
          <t>12 days (joined 2026-08-20)</t>
        </is>
      </c>
      <c r="G50" s="8" t="inlineStr">
        <is>
          <t>31.0 days</t>
        </is>
      </c>
      <c r="H50" s="8" t="n">
        <v>8044.35</v>
      </c>
      <c r="I50" s="8" t="inlineStr">
        <is>
          <t>Joined on 2026-08-20, so 12 of the month's 31 days were in employment, but 31.0 days were paid.</t>
        </is>
      </c>
      <c r="J50" s="8" t="inlineStr">
        <is>
          <t>no</t>
        </is>
      </c>
      <c r="K50" s="9" t="n"/>
      <c r="L50" s="9" t="n"/>
      <c r="M50" s="9" t="n"/>
      <c r="N50" s="9" t="n"/>
    </row>
    <row r="51">
      <c r="A51" s="8" t="inlineStr">
        <is>
          <t>E015</t>
        </is>
      </c>
      <c r="B51" s="8" t="inlineStr">
        <is>
          <t>Kavya Reddy</t>
        </is>
      </c>
      <c r="C51" s="8" t="inlineStr">
        <is>
          <t>STAT-008</t>
        </is>
      </c>
      <c r="D51" s="8" t="inlineStr">
        <is>
          <t>Professional Tax Mismatch</t>
        </is>
      </c>
      <c r="E51" s="8" t="inlineStr">
        <is>
          <t>WARNING</t>
        </is>
      </c>
      <c r="F51" s="8" t="inlineStr">
        <is>
          <t>200.00</t>
        </is>
      </c>
      <c r="G51" s="8" t="inlineStr">
        <is>
          <t>0.00</t>
        </is>
      </c>
      <c r="H51" s="8" t="n">
        <v>200</v>
      </c>
      <c r="I51" s="8" t="inlineStr">
        <is>
          <t>PT in register (0.00) ≠ slab (200.00).</t>
        </is>
      </c>
      <c r="J51" s="8" t="inlineStr">
        <is>
          <t>no</t>
        </is>
      </c>
      <c r="K51" s="9" t="n"/>
      <c r="L51" s="9" t="n"/>
      <c r="M51" s="9" t="n"/>
      <c r="N51" s="9" t="n"/>
    </row>
    <row r="52">
      <c r="A52" s="8" t="inlineStr">
        <is>
          <t>E024</t>
        </is>
      </c>
      <c r="B52" s="8" t="inlineStr">
        <is>
          <t>Vikram Nair</t>
        </is>
      </c>
      <c r="C52" s="8" t="inlineStr">
        <is>
          <t>STAT-008</t>
        </is>
      </c>
      <c r="D52" s="8" t="inlineStr">
        <is>
          <t>Professional Tax Mismatch</t>
        </is>
      </c>
      <c r="E52" s="8" t="inlineStr">
        <is>
          <t>WARNING</t>
        </is>
      </c>
      <c r="F52" s="8" t="inlineStr">
        <is>
          <t>200.00</t>
        </is>
      </c>
      <c r="G52" s="8" t="inlineStr">
        <is>
          <t>150.00</t>
        </is>
      </c>
      <c r="H52" s="8" t="n">
        <v>50</v>
      </c>
      <c r="I52" s="8" t="inlineStr">
        <is>
          <t>PT in register (150.00) ≠ slab (200.00).</t>
        </is>
      </c>
      <c r="J52" s="8" t="inlineStr">
        <is>
          <t>no</t>
        </is>
      </c>
      <c r="K52" s="9" t="n"/>
      <c r="L52" s="9" t="n"/>
      <c r="M52" s="9" t="n"/>
      <c r="N52" s="9" t="n"/>
    </row>
    <row r="53">
      <c r="A53" s="8" t="inlineStr">
        <is>
          <t>E029</t>
        </is>
      </c>
      <c r="B53" s="8" t="inlineStr">
        <is>
          <t>Divya Gupta</t>
        </is>
      </c>
      <c r="C53" s="8" t="inlineStr">
        <is>
          <t>TDS-002</t>
        </is>
      </c>
      <c r="D53" s="8" t="inlineStr">
        <is>
          <t>Monthly TDS Deviates from Projection</t>
        </is>
      </c>
      <c r="E53" s="8" t="inlineStr">
        <is>
          <t>WARNING</t>
        </is>
      </c>
      <c r="F53" s="8" t="inlineStr">
        <is>
          <t>8764.60</t>
        </is>
      </c>
      <c r="G53" s="8" t="inlineStr">
        <is>
          <t>7985.00</t>
        </is>
      </c>
      <c r="H53" s="8" t="n">
        <v>779.6</v>
      </c>
      <c r="I53" s="8" t="inlineStr">
        <is>
          <t>Projected monthly TDS (annualised, declared regime) is 8764.60; deduction differs by 779.60 (&gt; ₹438.23 tolerance).</t>
        </is>
      </c>
      <c r="J53" s="8" t="inlineStr">
        <is>
          <t>no</t>
        </is>
      </c>
      <c r="K53" s="9" t="n"/>
      <c r="L53" s="9" t="n"/>
      <c r="M53" s="9" t="n"/>
      <c r="N53" s="9" t="n"/>
    </row>
  </sheetData>
  <dataValidations count="1">
    <dataValidation sqref="K2:K53" showDropDown="0" showInputMessage="0" showErrorMessage="1" allowBlank="1" errorTitle="Verdict" error="Choose one of the four verdicts." type="list">
      <formula1>"True positive,Known and accepted,Configuration error,False positive"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6" customWidth="1" min="3" max="3"/>
    <col width="10" customWidth="1" min="4" max="4"/>
    <col width="50" customWidth="1" min="5" max="5"/>
    <col width="30" customWidth="1" min="6" max="6"/>
  </cols>
  <sheetData>
    <row r="1">
      <c r="A1" s="7" t="inlineStr">
        <is>
          <t>Rule</t>
        </is>
      </c>
      <c r="B1" s="7" t="inlineStr">
        <is>
          <t>Check</t>
        </is>
      </c>
      <c r="C1" s="7" t="inlineStr">
        <is>
          <t>Employees it could not check</t>
        </is>
      </c>
      <c r="D1" s="7" t="inlineStr">
        <is>
          <t>Material</t>
        </is>
      </c>
      <c r="E1" s="7" t="inlineStr">
        <is>
          <t>What it needed</t>
        </is>
      </c>
      <c r="F1" s="7" t="inlineStr">
        <is>
          <t>Supplied, or gap accepted by</t>
        </is>
      </c>
    </row>
    <row r="2">
      <c r="A2" s="8" t="inlineStr">
        <is>
          <t>STAT-002</t>
        </is>
      </c>
      <c r="B2" s="8" t="inlineStr">
        <is>
          <t>PF Employer Contribution</t>
        </is>
      </c>
      <c r="C2" s="8" t="n">
        <v>40</v>
      </c>
      <c r="D2" s="8" t="inlineStr">
        <is>
          <t>yes</t>
        </is>
      </c>
      <c r="E2" s="8" t="inlineStr">
        <is>
          <t>The inputs missing are listed below; the run's coverage in the product names each employee and what they lacked</t>
        </is>
      </c>
      <c r="F2" s="9" t="n"/>
    </row>
    <row r="3">
      <c r="A3" s="8" t="inlineStr">
        <is>
          <t>STAT-007</t>
        </is>
      </c>
      <c r="B3" s="8" t="inlineStr">
        <is>
          <t>ESIC Employer Contribution</t>
        </is>
      </c>
      <c r="C3" s="8" t="n">
        <v>10</v>
      </c>
      <c r="D3" s="8" t="inlineStr">
        <is>
          <t>yes</t>
        </is>
      </c>
      <c r="E3" s="8" t="inlineStr">
        <is>
          <t>The inputs missing are listed below; the run's coverage in the product names each employee and what they lacked</t>
        </is>
      </c>
      <c r="F3" s="9" t="n"/>
    </row>
    <row r="4">
      <c r="A4" s="8" t="inlineStr">
        <is>
          <t>PF-004</t>
        </is>
      </c>
      <c r="B4" s="8" t="inlineStr">
        <is>
          <t>EPS Contribution</t>
        </is>
      </c>
      <c r="C4" s="8" t="n">
        <v>40</v>
      </c>
      <c r="D4" s="8" t="inlineStr">
        <is>
          <t>no</t>
        </is>
      </c>
      <c r="E4" s="8" t="inlineStr">
        <is>
          <t>The inputs missing are listed below; the run's coverage in the product names each employee and what they lacked</t>
        </is>
      </c>
      <c r="F4" s="9" t="n"/>
    </row>
    <row r="5">
      <c r="A5" s="8" t="inlineStr">
        <is>
          <t>MST-002</t>
        </is>
      </c>
      <c r="B5" s="8" t="inlineStr">
        <is>
          <t>Paid Before Joining</t>
        </is>
      </c>
      <c r="C5" s="8" t="n">
        <v>1</v>
      </c>
      <c r="D5" s="8" t="inlineStr">
        <is>
          <t>no</t>
        </is>
      </c>
      <c r="E5" s="8" t="inlineStr">
        <is>
          <t>The inputs missing are listed below; the run's coverage in the product names each employee and what they lacked</t>
        </is>
      </c>
      <c r="F5" s="9" t="n"/>
    </row>
    <row r="6">
      <c r="A6" s="8" t="inlineStr">
        <is>
          <t>MST-003</t>
        </is>
      </c>
      <c r="B6" s="8" t="inlineStr">
        <is>
          <t>Paid After Exit</t>
        </is>
      </c>
      <c r="C6" s="8" t="n">
        <v>1</v>
      </c>
      <c r="D6" s="8" t="inlineStr">
        <is>
          <t>no</t>
        </is>
      </c>
      <c r="E6" s="8" t="inlineStr">
        <is>
          <t>The inputs missing are listed below; the run's coverage in the product names each employee and what they lacked</t>
        </is>
      </c>
      <c r="F6" s="9" t="n"/>
    </row>
    <row r="7">
      <c r="A7" s="8" t="inlineStr">
        <is>
          <t>MST-006</t>
        </is>
      </c>
      <c r="B7" s="8" t="inlineStr">
        <is>
          <t>Full Month Paid To A Mid-Month Joiner</t>
        </is>
      </c>
      <c r="C7" s="8" t="n">
        <v>1</v>
      </c>
      <c r="D7" s="8" t="inlineStr">
        <is>
          <t>no</t>
        </is>
      </c>
      <c r="E7" s="8" t="inlineStr">
        <is>
          <t>The inputs missing are listed below; the run's coverage in the product names each employee and what they lacked</t>
        </is>
      </c>
      <c r="F7" s="9" t="n"/>
    </row>
    <row r="9">
      <c r="A9" s="6" t="inlineStr">
        <is>
          <t>Inputs missing, by employees affected</t>
        </is>
      </c>
    </row>
    <row r="10">
      <c r="A10" s="2" t="inlineStr">
        <is>
          <t>PF employer column</t>
        </is>
      </c>
      <c r="C10" s="2" t="n">
        <v>40</v>
      </c>
    </row>
    <row r="11">
      <c r="A11" s="2" t="inlineStr">
        <is>
          <t>EPS column</t>
        </is>
      </c>
      <c r="C11" s="2" t="n">
        <v>40</v>
      </c>
    </row>
    <row r="12">
      <c r="A12" s="2" t="inlineStr">
        <is>
          <t>ESIC employer column</t>
        </is>
      </c>
      <c r="C12" s="2" t="n">
        <v>10</v>
      </c>
    </row>
    <row r="13">
      <c r="A13" s="2" t="inlineStr">
        <is>
          <t>master record</t>
        </is>
      </c>
      <c r="C13" s="2"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pane ySplit="11" topLeftCell="A12" activePane="bottomLeft" state="frozen"/>
      <selection pane="bottomLeft" activeCell="A1" sqref="A1"/>
    </sheetView>
  </sheetViews>
  <sheetFormatPr baseColWidth="8" defaultRowHeight="15"/>
  <cols>
    <col width="60" customWidth="1" min="1" max="1"/>
    <col width="16" customWidth="1" min="2" max="2"/>
    <col width="16" customWidth="1" min="3" max="3"/>
  </cols>
  <sheetData>
    <row r="1">
      <c r="A1" s="1" t="inlineStr">
        <is>
          <t>Exit criteria — GO_LIVE.md Phase 4.2</t>
        </is>
      </c>
    </row>
    <row r="2">
      <c r="A2" s="5" t="inlineStr">
        <is>
          <t>Counts update themselves from the Findings tab. Yellow cells take Y or N.</t>
        </is>
      </c>
    </row>
    <row r="4">
      <c r="A4" s="7" t="inlineStr">
        <is>
          <t>Verdict</t>
        </is>
      </c>
      <c r="B4" s="7" t="inlineStr">
        <is>
          <t>Findings</t>
        </is>
      </c>
      <c r="C4" s="7" t="inlineStr"/>
    </row>
    <row r="5">
      <c r="A5" s="2" t="inlineStr">
        <is>
          <t>True positive</t>
        </is>
      </c>
      <c r="B5">
        <f>COUNTIF(Findings!$K$2:$K$53,"True positive")</f>
        <v/>
      </c>
    </row>
    <row r="6">
      <c r="A6" s="2" t="inlineStr">
        <is>
          <t>Known and accepted</t>
        </is>
      </c>
      <c r="B6">
        <f>COUNTIF(Findings!$K$2:$K$53,"Known and accepted")</f>
        <v/>
      </c>
    </row>
    <row r="7">
      <c r="A7" s="2" t="inlineStr">
        <is>
          <t>Configuration error</t>
        </is>
      </c>
      <c r="B7">
        <f>COUNTIF(Findings!$K$2:$K$53,"Configuration error")</f>
        <v/>
      </c>
    </row>
    <row r="8">
      <c r="A8" s="2" t="inlineStr">
        <is>
          <t>False positive</t>
        </is>
      </c>
      <c r="B8">
        <f>COUNTIF(Findings!$K$2:$K$53,"False positive")</f>
        <v/>
      </c>
    </row>
    <row r="9">
      <c r="A9" s="6" t="inlineStr">
        <is>
          <t>Not yet reviewed</t>
        </is>
      </c>
      <c r="B9">
        <f>52-SUM(B5:B8)</f>
        <v/>
      </c>
    </row>
    <row r="11">
      <c r="A11" s="7" t="inlineStr">
        <is>
          <t>Criterion</t>
        </is>
      </c>
      <c r="B11" s="7" t="inlineStr">
        <is>
          <t>Answer</t>
        </is>
      </c>
      <c r="C11" s="7" t="inlineStr">
        <is>
          <t>Status</t>
        </is>
      </c>
    </row>
    <row r="12">
      <c r="A12" s="2" t="inlineStr">
        <is>
          <t>Every finding has a verdict</t>
        </is>
      </c>
      <c r="B12" s="10">
        <f>B9</f>
        <v/>
      </c>
      <c r="C12" s="11">
        <f>IF(B12=0,"MET","NOT MET")</f>
        <v/>
      </c>
    </row>
    <row r="13">
      <c r="A13" s="2" t="inlineStr">
        <is>
          <t>Zero false positives</t>
        </is>
      </c>
      <c r="B13" s="10">
        <f>B8</f>
        <v/>
      </c>
      <c r="C13" s="11">
        <f>IF(B13=0,"MET","NOT MET")</f>
        <v/>
      </c>
    </row>
    <row r="14">
      <c r="A14" s="2" t="inlineStr">
        <is>
          <t>At least one true positive the client did not already know about</t>
        </is>
      </c>
      <c r="B14" s="10">
        <f>B5</f>
        <v/>
      </c>
      <c r="C14" s="11">
        <f>IF(B14&gt;=1,"MET","NOT MET")</f>
        <v/>
      </c>
    </row>
    <row r="15">
      <c r="A15" s="2" t="inlineStr">
        <is>
          <t>Configuration errors are fixed and the month validated again (Y/N)</t>
        </is>
      </c>
      <c r="B15" s="9" t="n"/>
      <c r="C15" s="11">
        <f>IF(UPPER(B15)="Y","MET","NOT MET")</f>
        <v/>
      </c>
    </row>
    <row r="16">
      <c r="A16" s="2" t="inlineStr">
        <is>
          <t>The payroll lead states in writing that the findings are sound (Y/N)</t>
        </is>
      </c>
      <c r="B16" s="9" t="n"/>
      <c r="C16" s="11">
        <f>IF(UPPER(B16)="Y","MET","NOT MET")</f>
        <v/>
      </c>
    </row>
    <row r="17">
      <c r="A17" s="2" t="inlineStr">
        <is>
          <t>Cost dashboard totals match the client's management accounts (Y/N)</t>
        </is>
      </c>
      <c r="B17" s="9" t="n"/>
      <c r="C17" s="11">
        <f>IF(UPPER(B17)="Y","MET","NOT MET")</f>
        <v/>
      </c>
    </row>
    <row r="18">
      <c r="A18" s="2" t="inlineStr">
        <is>
          <t>The journal voucher balances and the client's accountant accepts the mapping (Y/N)</t>
        </is>
      </c>
      <c r="B18" s="9" t="n"/>
      <c r="C18" s="11">
        <f>IF(UPPER(B18)="Y","MET","NOT MET")</f>
        <v/>
      </c>
    </row>
    <row r="20">
      <c r="A20" s="12" t="inlineStr">
        <is>
          <t>Parallel run</t>
        </is>
      </c>
      <c r="C20" s="13">
        <f>IF(COUNTIF(C12:C18,"MET")=7,"PASSED","NOT YET")</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50" customWidth="1" min="2" max="2"/>
  </cols>
  <sheetData>
    <row r="1">
      <c r="A1" s="1" t="inlineStr">
        <is>
          <t>Sign-off</t>
        </is>
      </c>
    </row>
    <row r="3">
      <c r="A3" s="3" t="inlineStr">
        <is>
          <t>Client payroll lead</t>
        </is>
      </c>
    </row>
    <row r="4">
      <c r="A4" s="2" t="inlineStr">
        <is>
          <t>Name</t>
        </is>
      </c>
      <c r="B4" s="9" t="n"/>
    </row>
    <row r="5">
      <c r="A5" s="2" t="inlineStr">
        <is>
          <t>Designation</t>
        </is>
      </c>
      <c r="B5" s="9" t="n"/>
    </row>
    <row r="6">
      <c r="A6" s="2" t="inlineStr">
        <is>
          <t>Date</t>
        </is>
      </c>
      <c r="B6" s="9" t="n"/>
    </row>
    <row r="7">
      <c r="A7" s="2" t="inlineStr">
        <is>
          <t>Signature</t>
        </is>
      </c>
      <c r="B7" s="9" t="n"/>
    </row>
    <row r="9">
      <c r="A9" s="3" t="inlineStr">
        <is>
          <t>Implementer</t>
        </is>
      </c>
    </row>
    <row r="10">
      <c r="A10" s="2" t="inlineStr">
        <is>
          <t>Name</t>
        </is>
      </c>
      <c r="B10" s="9" t="n"/>
    </row>
    <row r="11">
      <c r="A11" s="2" t="inlineStr">
        <is>
          <t>Designation</t>
        </is>
      </c>
      <c r="B11" s="9" t="n"/>
    </row>
    <row r="12">
      <c r="A12" s="2" t="inlineStr">
        <is>
          <t>Date</t>
        </is>
      </c>
      <c r="B12" s="9" t="n"/>
    </row>
    <row r="13">
      <c r="A13" s="2" t="inlineStr">
        <is>
          <t>Signature</t>
        </is>
      </c>
      <c r="B13" s="9" t="n"/>
    </row>
    <row r="15">
      <c r="A15" s="2" t="inlineStr">
        <is>
          <t>I have reviewed every finding in this pack for Acme Pack Pvt Ltd, August 2026, and the verdicts recorded are my own.</t>
        </is>
      </c>
    </row>
  </sheetData>
  <mergeCells count="1">
    <mergeCell ref="A15:B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2026-10-18T22:18:50Z</dcterms:created>
  <dcterms:modified xmlns:dcterms="http://purl.org/dc/terms/" xmlns:xsi="http://www.w3.org/2001/XMLSchema-instance" xsi:type="dcterms:W3CDTF">2026-10-18T22:18:50Z</dcterms:modified>
</cp:coreProperties>
</file>
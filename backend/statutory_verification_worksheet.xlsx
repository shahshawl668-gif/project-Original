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ncome tax" sheetId="2" state="visible" r:id="rId2"/>
    <sheet name="PF and ESIC" sheetId="3" state="visible" r:id="rId3"/>
    <sheet name="Labour Codes" sheetId="4" state="visible" r:id="rId4"/>
    <sheet name="PT by state" sheetId="5" state="visible" r:id="rId5"/>
    <sheet name="LWF by state" sheetId="6" state="visible" r:id="rId6"/>
    <sheet name="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C4A6E"/>
      <sz val="14"/>
    </font>
    <font>
      <name val="Arial"/>
      <color rgb="00000000"/>
      <sz val="10"/>
    </font>
    <font>
      <name val="Arial"/>
      <b val="1"/>
      <color rgb="000C4A6E"/>
      <sz val="11"/>
    </font>
    <font>
      <name val="Arial"/>
      <color rgb="00475569"/>
      <sz val="9"/>
    </font>
    <font>
      <name val="Arial"/>
      <b val="1"/>
      <sz val="10"/>
    </font>
    <font>
      <name val="Arial"/>
      <i val="1"/>
      <sz val="10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i val="1"/>
      <color rgb="00475569"/>
      <sz val="9"/>
    </font>
  </fonts>
  <fills count="6">
    <fill>
      <patternFill/>
    </fill>
    <fill>
      <patternFill patternType="gray125"/>
    </fill>
    <fill>
      <patternFill patternType="solid">
        <fgColor rgb="000C4A6E"/>
      </patternFill>
    </fill>
    <fill>
      <patternFill patternType="solid">
        <fgColor rgb="00FFFF00"/>
      </patternFill>
    </fill>
    <fill>
      <patternFill patternType="solid">
        <fgColor rgb="00E0F2FE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BFDBFE"/>
      </top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/>
      <top style="thin">
        <color rgb="00BFDBFE"/>
      </top>
      <bottom style="thin">
        <color rgb="00BFDBFE"/>
      </bottom>
      <diagonal/>
    </border>
    <border>
      <left/>
      <right style="thin">
        <color rgb="00BFDBFE"/>
      </right>
      <top style="thin">
        <color rgb="00BFDBFE"/>
      </top>
      <bottom style="thin">
        <color rgb="00BFDBFE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3" borderId="1" pivotButton="0" quotePrefix="0" xfId="0"/>
    <xf numFmtId="0" fontId="8" fillId="2" borderId="1" pivotButton="0" quotePrefix="0" xfId="0"/>
    <xf numFmtId="0" fontId="9" fillId="0" borderId="1" pivotButton="0" quotePrefix="0" xfId="0"/>
    <xf numFmtId="0" fontId="9" fillId="4" borderId="1" pivotButton="0" quotePrefix="0" xfId="0"/>
    <xf numFmtId="0" fontId="5" fillId="0" borderId="1" pivotButton="0" quotePrefix="0" xfId="0"/>
    <xf numFmtId="0" fontId="10" fillId="5" borderId="0" pivotButton="0" quotePrefix="0" xfId="0"/>
    <xf numFmtId="0" fontId="11" fillId="0" borderId="0" applyAlignment="1" pivotButton="0" quotePrefix="0" xfId="0">
      <alignment vertical="top" wrapText="1"/>
    </xf>
    <xf numFmtId="0" fontId="3" fillId="0" borderId="0" pivotButton="0" quotePrefix="0" xfId="0"/>
    <xf numFmtId="0" fontId="9" fillId="0" borderId="0" pivotButton="0" quotePrefix="0" xfId="0"/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Peopleopslab — statutory verification worksheet</t>
        </is>
      </c>
    </row>
    <row r="2">
      <c r="A2" s="2" t="inlineStr"/>
    </row>
    <row r="3">
      <c r="A3" s="3" t="inlineStr">
        <is>
          <t>Why this exists</t>
        </is>
      </c>
    </row>
    <row r="4" ht="30" customHeight="1">
      <c r="A4" s="2" t="inlineStr">
        <is>
          <t>GO_LIVE.md D6 makes a payroll professional's sign-off a gate on real client data. This worksheet is that sign-off in a form an auditor can read a year from now.</t>
        </is>
      </c>
    </row>
    <row r="5">
      <c r="A5" s="2" t="inlineStr"/>
    </row>
    <row r="6">
      <c r="A6" s="3" t="inlineStr">
        <is>
          <t>What to do</t>
        </is>
      </c>
    </row>
    <row r="7">
      <c r="A7" s="2" t="inlineStr">
        <is>
          <t>1. Fill every YELLOW cell. Nothing else is yellow, so that is the whole instruction.</t>
        </is>
      </c>
    </row>
    <row r="8" ht="30" customHeight="1">
      <c r="A8" s="2" t="inlineStr">
        <is>
          <t>2. 'Correct?' takes Y or N. Leave it blank if you could not verify it — blank is an honest answer and the Sign-off tab counts it separately.</t>
        </is>
      </c>
    </row>
    <row r="9" ht="30" customHeight="1">
      <c r="A9" s="2" t="inlineStr">
        <is>
          <t>3. On any N, put the right figure in 'Corrected value' and the date it took effect in 'Effective from'.</t>
        </is>
      </c>
    </row>
    <row r="10">
      <c r="A10" s="2" t="inlineStr">
        <is>
          <t>4. Cite your source. 'Finance Act 2026 s.2' or a gazette number — not 'checked online'.</t>
        </is>
      </c>
    </row>
    <row r="11">
      <c r="A11" s="2" t="inlineStr">
        <is>
          <t>5. Sign the Sign-off tab last. It counts the other tabs automatically.</t>
        </is>
      </c>
    </row>
    <row r="12">
      <c r="A12" s="2" t="inlineStr"/>
    </row>
    <row r="13">
      <c r="A13" s="3" t="inlineStr">
        <is>
          <t>Order of work — highest value first</t>
        </is>
      </c>
    </row>
    <row r="14" ht="30" customHeight="1">
      <c r="A14" s="2" t="inlineStr">
        <is>
          <t>Income tax FY 2026-27 covers the year currently being billed and is one Finance Act. Do it first; it is an afternoon. PT and LWF are 22 and 15 separate state schedules and can follow.</t>
        </is>
      </c>
    </row>
    <row r="15">
      <c r="A15" s="2" t="inlineStr"/>
    </row>
    <row r="16">
      <c r="A16" s="3" t="inlineStr">
        <is>
          <t>What is NOT in this worksheet</t>
        </is>
      </c>
    </row>
    <row r="17" ht="30" customHeight="1">
      <c r="A17" s="2" t="inlineStr">
        <is>
          <t>Minimum wages. They are per state, per skill category, revised roughly twice a year, and are held as tenant data rather than shipped defaults. They need their own review. The product reports a missing rate as a finding rather than as a pass, so an unmaintained table shows up as unverified instead of clean.</t>
        </is>
      </c>
    </row>
    <row r="18">
      <c r="A18" s="2" t="inlineStr"/>
    </row>
    <row r="19">
      <c r="A19" s="3" t="inlineStr">
        <is>
          <t>The Labour Codes</t>
        </is>
      </c>
    </row>
    <row r="20" ht="30" customHeight="1">
      <c r="A20" s="2" t="inlineStr">
        <is>
          <t>The four Labour Codes took effect on 21 November 2025. The product now checks the Code on Wages s.2(y) wage definition (LC-001: exclusions above half of remuneration are deemed wages), puts gratuity at an exit under the Codes on those wages, and gives a fixed-term employee gratuity after one year (Social Security Code s.53). The 'Labour Codes' tab lists every value those checks use. The PF expectation itself still follows the components marked PF-applicable: whether the company computes PF on the deemed wages is a decision for this review, and LC-001 shows its cost per employee.</t>
        </is>
      </c>
    </row>
    <row r="21">
      <c r="A21" s="2" t="inlineStr"/>
    </row>
    <row r="22" ht="30" customHeight="1">
      <c r="A22" s="4" t="inlineStr">
        <is>
          <t>Generated 2026-10-17 from the application's own defaults. Re-runnable: python tools/statutory_worksheet.py</t>
        </is>
      </c>
    </row>
    <row r="24">
      <c r="A24" s="5" t="inlineStr">
        <is>
          <t>EXAMPLE of a completed row (do not leave this on a data tab):</t>
        </is>
      </c>
    </row>
    <row r="25">
      <c r="A25" s="6" t="inlineStr">
        <is>
          <t>Correct? = N  |  Corrected value = 20000  |  Effective from = 2026-04-01  |  Source = Karnataka PT (Amendment) Act 2026, Gazette 14-Mar-2026  |  Reviewer = RKS  |  Date = 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2" customWidth="1" min="4" max="4"/>
    <col width="42" customWidth="1" min="5" max="5"/>
    <col width="11" customWidth="1" min="6" max="6"/>
    <col width="18" customWidth="1" min="7" max="7"/>
    <col width="15" customWidth="1" min="8" max="8"/>
    <col width="34" customWidth="1" min="9" max="9"/>
    <col width="16" customWidth="1" min="10" max="10"/>
    <col width="14" customWidth="1" min="11" max="11"/>
    <col width="40" customWidth="1" min="12" max="12"/>
  </cols>
  <sheetData>
    <row r="1">
      <c r="A1" s="7" t="inlineStr">
        <is>
          <t>Income tax — FY 2026-27</t>
        </is>
      </c>
    </row>
    <row r="2" ht="30" customHeight="1">
      <c r="A2" s="8" t="inlineStr">
        <is>
          <t>HIGHEST PRIORITY. This is the financial year currently being billed. The code asserts Budget 2026 carried FY 2025-26 forward unchanged — that assertion is the first thing to test.</t>
        </is>
      </c>
    </row>
    <row r="4" ht="30" customHeight="1">
      <c r="A4" s="9" t="inlineStr">
        <is>
          <t>Parameter</t>
        </is>
      </c>
      <c r="B4" s="9" t="inlineStr">
        <is>
          <t>Regime</t>
        </is>
      </c>
      <c r="C4" s="9" t="inlineStr">
        <is>
          <t>Value in code</t>
        </is>
      </c>
      <c r="D4" s="9" t="inlineStr">
        <is>
          <t>Unit</t>
        </is>
      </c>
      <c r="E4" s="9" t="inlineStr">
        <is>
          <t>Where in code</t>
        </is>
      </c>
      <c r="F4" s="9" t="inlineStr">
        <is>
          <t>Correct?</t>
        </is>
      </c>
      <c r="G4" s="9" t="inlineStr">
        <is>
          <t>Corrected value</t>
        </is>
      </c>
      <c r="H4" s="9" t="inlineStr">
        <is>
          <t>Effective from</t>
        </is>
      </c>
      <c r="I4" s="9" t="inlineStr">
        <is>
          <t>Source cited by reviewer</t>
        </is>
      </c>
      <c r="J4" s="9" t="inlineStr">
        <is>
          <t>Reviewer initials</t>
        </is>
      </c>
      <c r="K4" s="9" t="inlineStr">
        <is>
          <t>Date checked</t>
        </is>
      </c>
      <c r="L4" s="9" t="inlineStr">
        <is>
          <t>Notes</t>
        </is>
      </c>
    </row>
    <row r="5">
      <c r="A5" s="10" t="inlineStr">
        <is>
          <t>Slab up to 400,000</t>
        </is>
      </c>
      <c r="B5" s="10" t="inlineStr">
        <is>
          <t>New Regime</t>
        </is>
      </c>
      <c r="C5" s="10" t="n">
        <v>0</v>
      </c>
      <c r="D5" s="10" t="inlineStr">
        <is>
          <t>rate (fraction)</t>
        </is>
      </c>
      <c r="E5" s="10" t="inlineStr">
        <is>
          <t>app/services/tax_year_defaults.py</t>
        </is>
      </c>
      <c r="F5" s="11" t="n"/>
      <c r="G5" s="11" t="n"/>
      <c r="H5" s="11" t="n"/>
      <c r="I5" s="11" t="n"/>
      <c r="J5" s="11" t="n"/>
      <c r="K5" s="11" t="n"/>
      <c r="L5" s="11" t="n"/>
    </row>
    <row r="6">
      <c r="A6" s="10" t="inlineStr">
        <is>
          <t>Slab up to 800,000</t>
        </is>
      </c>
      <c r="B6" s="10" t="inlineStr">
        <is>
          <t>New Regime</t>
        </is>
      </c>
      <c r="C6" s="10" t="n">
        <v>0.05</v>
      </c>
      <c r="D6" s="10" t="inlineStr">
        <is>
          <t>rate (fraction)</t>
        </is>
      </c>
      <c r="E6" s="10" t="inlineStr">
        <is>
          <t>app/services/tax_year_defaults.py</t>
        </is>
      </c>
      <c r="F6" s="11" t="n"/>
      <c r="G6" s="11" t="n"/>
      <c r="H6" s="11" t="n"/>
      <c r="I6" s="11" t="n"/>
      <c r="J6" s="11" t="n"/>
      <c r="K6" s="11" t="n"/>
      <c r="L6" s="11" t="n"/>
    </row>
    <row r="7">
      <c r="A7" s="10" t="inlineStr">
        <is>
          <t>Slab up to 1,200,000</t>
        </is>
      </c>
      <c r="B7" s="10" t="inlineStr">
        <is>
          <t>New Regime</t>
        </is>
      </c>
      <c r="C7" s="10" t="n">
        <v>0.1</v>
      </c>
      <c r="D7" s="10" t="inlineStr">
        <is>
          <t>rate (fraction)</t>
        </is>
      </c>
      <c r="E7" s="10" t="inlineStr">
        <is>
          <t>app/services/tax_year_defaults.py</t>
        </is>
      </c>
      <c r="F7" s="11" t="n"/>
      <c r="G7" s="11" t="n"/>
      <c r="H7" s="11" t="n"/>
      <c r="I7" s="11" t="n"/>
      <c r="J7" s="11" t="n"/>
      <c r="K7" s="11" t="n"/>
      <c r="L7" s="11" t="n"/>
    </row>
    <row r="8">
      <c r="A8" s="10" t="inlineStr">
        <is>
          <t>Slab up to 1,600,000</t>
        </is>
      </c>
      <c r="B8" s="10" t="inlineStr">
        <is>
          <t>New Regime</t>
        </is>
      </c>
      <c r="C8" s="10" t="n">
        <v>0.15</v>
      </c>
      <c r="D8" s="10" t="inlineStr">
        <is>
          <t>rate (fraction)</t>
        </is>
      </c>
      <c r="E8" s="10" t="inlineStr">
        <is>
          <t>app/services/tax_year_defaults.py</t>
        </is>
      </c>
      <c r="F8" s="11" t="n"/>
      <c r="G8" s="11" t="n"/>
      <c r="H8" s="11" t="n"/>
      <c r="I8" s="11" t="n"/>
      <c r="J8" s="11" t="n"/>
      <c r="K8" s="11" t="n"/>
      <c r="L8" s="11" t="n"/>
    </row>
    <row r="9">
      <c r="A9" s="10" t="inlineStr">
        <is>
          <t>Slab up to 2,000,000</t>
        </is>
      </c>
      <c r="B9" s="10" t="inlineStr">
        <is>
          <t>New Regime</t>
        </is>
      </c>
      <c r="C9" s="10" t="n">
        <v>0.2</v>
      </c>
      <c r="D9" s="10" t="inlineStr">
        <is>
          <t>rate (fraction)</t>
        </is>
      </c>
      <c r="E9" s="10" t="inlineStr">
        <is>
          <t>app/services/tax_year_defaults.py</t>
        </is>
      </c>
      <c r="F9" s="11" t="n"/>
      <c r="G9" s="11" t="n"/>
      <c r="H9" s="11" t="n"/>
      <c r="I9" s="11" t="n"/>
      <c r="J9" s="11" t="n"/>
      <c r="K9" s="11" t="n"/>
      <c r="L9" s="11" t="n"/>
    </row>
    <row r="10">
      <c r="A10" s="10" t="inlineStr">
        <is>
          <t>Slab up to 2,400,000</t>
        </is>
      </c>
      <c r="B10" s="10" t="inlineStr">
        <is>
          <t>New Regime</t>
        </is>
      </c>
      <c r="C10" s="10" t="n">
        <v>0.25</v>
      </c>
      <c r="D10" s="10" t="inlineStr">
        <is>
          <t>rate (fraction)</t>
        </is>
      </c>
      <c r="E10" s="10" t="inlineStr">
        <is>
          <t>app/services/tax_year_defaults.py</t>
        </is>
      </c>
      <c r="F10" s="11" t="n"/>
      <c r="G10" s="11" t="n"/>
      <c r="H10" s="11" t="n"/>
      <c r="I10" s="11" t="n"/>
      <c r="J10" s="11" t="n"/>
      <c r="K10" s="11" t="n"/>
      <c r="L10" s="11" t="n"/>
    </row>
    <row r="11">
      <c r="A11" s="10" t="inlineStr">
        <is>
          <t>Slab up to no limit</t>
        </is>
      </c>
      <c r="B11" s="10" t="inlineStr">
        <is>
          <t>New Regime</t>
        </is>
      </c>
      <c r="C11" s="10" t="n">
        <v>0.3</v>
      </c>
      <c r="D11" s="10" t="inlineStr">
        <is>
          <t>rate (fraction)</t>
        </is>
      </c>
      <c r="E11" s="10" t="inlineStr">
        <is>
          <t>app/services/tax_year_defaults.py</t>
        </is>
      </c>
      <c r="F11" s="11" t="n"/>
      <c r="G11" s="11" t="n"/>
      <c r="H11" s="11" t="n"/>
      <c r="I11" s="11" t="n"/>
      <c r="J11" s="11" t="n"/>
      <c r="K11" s="11" t="n"/>
      <c r="L11" s="11" t="n"/>
    </row>
    <row r="12">
      <c r="A12" s="10" t="inlineStr">
        <is>
          <t>Standard deduction</t>
        </is>
      </c>
      <c r="B12" s="10" t="inlineStr">
        <is>
          <t>New Regime</t>
        </is>
      </c>
      <c r="C12" s="10" t="n">
        <v>75000</v>
      </c>
      <c r="D12" s="10" t="inlineStr">
        <is>
          <t>INR</t>
        </is>
      </c>
      <c r="E12" s="10" t="inlineStr">
        <is>
          <t>app/services/tax_year_defaults.py</t>
        </is>
      </c>
      <c r="F12" s="11" t="n"/>
      <c r="G12" s="11" t="n"/>
      <c r="H12" s="11" t="n"/>
      <c r="I12" s="11" t="n"/>
      <c r="J12" s="11" t="n"/>
      <c r="K12" s="11" t="n"/>
      <c r="L12" s="11" t="n"/>
    </row>
    <row r="13">
      <c r="A13" s="10" t="inlineStr">
        <is>
          <t>87A rebate — income limit</t>
        </is>
      </c>
      <c r="B13" s="10" t="inlineStr">
        <is>
          <t>New Regime</t>
        </is>
      </c>
      <c r="C13" s="10" t="n">
        <v>1200000</v>
      </c>
      <c r="D13" s="10" t="inlineStr">
        <is>
          <t>INR</t>
        </is>
      </c>
      <c r="E13" s="10" t="inlineStr">
        <is>
          <t>app/services/tax_year_defaults.py</t>
        </is>
      </c>
      <c r="F13" s="11" t="n"/>
      <c r="G13" s="11" t="n"/>
      <c r="H13" s="11" t="n"/>
      <c r="I13" s="11" t="n"/>
      <c r="J13" s="11" t="n"/>
      <c r="K13" s="11" t="n"/>
      <c r="L13" s="11" t="n"/>
    </row>
    <row r="14">
      <c r="A14" s="10" t="inlineStr">
        <is>
          <t>87A rebate — maximum</t>
        </is>
      </c>
      <c r="B14" s="10" t="inlineStr">
        <is>
          <t>New Regime</t>
        </is>
      </c>
      <c r="C14" s="10" t="n">
        <v>60000</v>
      </c>
      <c r="D14" s="10" t="inlineStr">
        <is>
          <t>INR</t>
        </is>
      </c>
      <c r="E14" s="10" t="inlineStr">
        <is>
          <t>app/services/tax_year_defaults.py</t>
        </is>
      </c>
      <c r="F14" s="11" t="n"/>
      <c r="G14" s="11" t="n"/>
      <c r="H14" s="11" t="n"/>
      <c r="I14" s="11" t="n"/>
      <c r="J14" s="11" t="n"/>
      <c r="K14" s="11" t="n"/>
      <c r="L14" s="11" t="n"/>
    </row>
    <row r="15">
      <c r="A15" s="10" t="inlineStr">
        <is>
          <t>87A marginal relief applies</t>
        </is>
      </c>
      <c r="B15" s="10" t="inlineStr">
        <is>
          <t>New Regime</t>
        </is>
      </c>
      <c r="C15" s="10" t="inlineStr">
        <is>
          <t>Yes</t>
        </is>
      </c>
      <c r="D15" s="10" t="inlineStr">
        <is>
          <t>flag</t>
        </is>
      </c>
      <c r="E15" s="10" t="inlineStr">
        <is>
          <t>app/services/tax_year_defaults.py</t>
        </is>
      </c>
      <c r="F15" s="11" t="n"/>
      <c r="G15" s="11" t="n"/>
      <c r="H15" s="11" t="n"/>
      <c r="I15" s="11" t="n"/>
      <c r="J15" s="11" t="n"/>
      <c r="K15" s="11" t="n"/>
      <c r="L15" s="11" t="n"/>
    </row>
    <row r="16">
      <c r="A16" s="10" t="inlineStr">
        <is>
          <t>Surcharge up to 5,000,000</t>
        </is>
      </c>
      <c r="B16" s="10" t="inlineStr">
        <is>
          <t>New Regime</t>
        </is>
      </c>
      <c r="C16" s="10" t="n">
        <v>0</v>
      </c>
      <c r="D16" s="10" t="inlineStr">
        <is>
          <t>rate (fraction)</t>
        </is>
      </c>
      <c r="E16" s="10" t="inlineStr">
        <is>
          <t>app/services/tax_year_defaults.py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10" t="inlineStr">
        <is>
          <t>Surcharge up to 10,000,000</t>
        </is>
      </c>
      <c r="B17" s="10" t="inlineStr">
        <is>
          <t>New Regime</t>
        </is>
      </c>
      <c r="C17" s="10" t="n">
        <v>0.1</v>
      </c>
      <c r="D17" s="10" t="inlineStr">
        <is>
          <t>rate (fraction)</t>
        </is>
      </c>
      <c r="E17" s="10" t="inlineStr">
        <is>
          <t>app/services/tax_year_defaults.py</t>
        </is>
      </c>
      <c r="F17" s="11" t="n"/>
      <c r="G17" s="11" t="n"/>
      <c r="H17" s="11" t="n"/>
      <c r="I17" s="11" t="n"/>
      <c r="J17" s="11" t="n"/>
      <c r="K17" s="11" t="n"/>
      <c r="L17" s="11" t="n"/>
    </row>
    <row r="18">
      <c r="A18" s="10" t="inlineStr">
        <is>
          <t>Surcharge up to 20,000,000</t>
        </is>
      </c>
      <c r="B18" s="10" t="inlineStr">
        <is>
          <t>New Regime</t>
        </is>
      </c>
      <c r="C18" s="10" t="n">
        <v>0.15</v>
      </c>
      <c r="D18" s="10" t="inlineStr">
        <is>
          <t>rate (fraction)</t>
        </is>
      </c>
      <c r="E18" s="10" t="inlineStr">
        <is>
          <t>app/services/tax_year_defaults.py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10" t="inlineStr">
        <is>
          <t>Surcharge up to above top band</t>
        </is>
      </c>
      <c r="B19" s="10" t="inlineStr">
        <is>
          <t>New Regime</t>
        </is>
      </c>
      <c r="C19" s="10" t="n">
        <v>0.25</v>
      </c>
      <c r="D19" s="10" t="inlineStr">
        <is>
          <t>rate (fraction)</t>
        </is>
      </c>
      <c r="E19" s="10" t="inlineStr">
        <is>
          <t>app/services/tax_year_defaults.py</t>
        </is>
      </c>
      <c r="F19" s="11" t="n"/>
      <c r="G19" s="11" t="n"/>
      <c r="H19" s="11" t="n"/>
      <c r="I19" s="11" t="n"/>
      <c r="J19" s="11" t="n"/>
      <c r="K19" s="11" t="n"/>
      <c r="L19" s="11" t="n"/>
    </row>
    <row r="20">
      <c r="A20" s="10" t="inlineStr">
        <is>
          <t>Chapter VI-A deductions allowed</t>
        </is>
      </c>
      <c r="B20" s="10" t="inlineStr">
        <is>
          <t>New Regime</t>
        </is>
      </c>
      <c r="C20" s="10" t="inlineStr">
        <is>
          <t>No</t>
        </is>
      </c>
      <c r="D20" s="10" t="inlineStr">
        <is>
          <t>flag</t>
        </is>
      </c>
      <c r="E20" s="10" t="inlineStr">
        <is>
          <t>app/services/tax_year_defaults.py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10" t="inlineStr">
        <is>
          <t>Slab up to 250,000</t>
        </is>
      </c>
      <c r="B21" s="10" t="inlineStr">
        <is>
          <t>Old Regime</t>
        </is>
      </c>
      <c r="C21" s="10" t="n">
        <v>0</v>
      </c>
      <c r="D21" s="10" t="inlineStr">
        <is>
          <t>rate (fraction)</t>
        </is>
      </c>
      <c r="E21" s="10" t="inlineStr">
        <is>
          <t>app/services/tax_year_defaults.py</t>
        </is>
      </c>
      <c r="F21" s="11" t="n"/>
      <c r="G21" s="11" t="n"/>
      <c r="H21" s="11" t="n"/>
      <c r="I21" s="11" t="n"/>
      <c r="J21" s="11" t="n"/>
      <c r="K21" s="11" t="n"/>
      <c r="L21" s="11" t="n"/>
    </row>
    <row r="22">
      <c r="A22" s="10" t="inlineStr">
        <is>
          <t>Slab up to 500,000</t>
        </is>
      </c>
      <c r="B22" s="10" t="inlineStr">
        <is>
          <t>Old Regime</t>
        </is>
      </c>
      <c r="C22" s="10" t="n">
        <v>0.05</v>
      </c>
      <c r="D22" s="10" t="inlineStr">
        <is>
          <t>rate (fraction)</t>
        </is>
      </c>
      <c r="E22" s="10" t="inlineStr">
        <is>
          <t>app/services/tax_year_defaults.py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10" t="inlineStr">
        <is>
          <t>Slab up to 1,000,000</t>
        </is>
      </c>
      <c r="B23" s="10" t="inlineStr">
        <is>
          <t>Old Regime</t>
        </is>
      </c>
      <c r="C23" s="10" t="n">
        <v>0.2</v>
      </c>
      <c r="D23" s="10" t="inlineStr">
        <is>
          <t>rate (fraction)</t>
        </is>
      </c>
      <c r="E23" s="10" t="inlineStr">
        <is>
          <t>app/services/tax_year_defaults.py</t>
        </is>
      </c>
      <c r="F23" s="11" t="n"/>
      <c r="G23" s="11" t="n"/>
      <c r="H23" s="11" t="n"/>
      <c r="I23" s="11" t="n"/>
      <c r="J23" s="11" t="n"/>
      <c r="K23" s="11" t="n"/>
      <c r="L23" s="11" t="n"/>
    </row>
    <row r="24">
      <c r="A24" s="10" t="inlineStr">
        <is>
          <t>Slab up to no limit</t>
        </is>
      </c>
      <c r="B24" s="10" t="inlineStr">
        <is>
          <t>Old Regime</t>
        </is>
      </c>
      <c r="C24" s="10" t="n">
        <v>0.3</v>
      </c>
      <c r="D24" s="10" t="inlineStr">
        <is>
          <t>rate (fraction)</t>
        </is>
      </c>
      <c r="E24" s="10" t="inlineStr">
        <is>
          <t>app/services/tax_year_defaults.py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10" t="inlineStr">
        <is>
          <t>Standard deduction</t>
        </is>
      </c>
      <c r="B25" s="10" t="inlineStr">
        <is>
          <t>Old Regime</t>
        </is>
      </c>
      <c r="C25" s="10" t="n">
        <v>50000</v>
      </c>
      <c r="D25" s="10" t="inlineStr">
        <is>
          <t>INR</t>
        </is>
      </c>
      <c r="E25" s="10" t="inlineStr">
        <is>
          <t>app/services/tax_year_defaults.py</t>
        </is>
      </c>
      <c r="F25" s="11" t="n"/>
      <c r="G25" s="11" t="n"/>
      <c r="H25" s="11" t="n"/>
      <c r="I25" s="11" t="n"/>
      <c r="J25" s="11" t="n"/>
      <c r="K25" s="11" t="n"/>
      <c r="L25" s="11" t="n"/>
    </row>
    <row r="26">
      <c r="A26" s="10" t="inlineStr">
        <is>
          <t>87A rebate — income limit</t>
        </is>
      </c>
      <c r="B26" s="10" t="inlineStr">
        <is>
          <t>Old Regime</t>
        </is>
      </c>
      <c r="C26" s="10" t="n">
        <v>500000</v>
      </c>
      <c r="D26" s="10" t="inlineStr">
        <is>
          <t>INR</t>
        </is>
      </c>
      <c r="E26" s="10" t="inlineStr">
        <is>
          <t>app/services/tax_year_defaults.py</t>
        </is>
      </c>
      <c r="F26" s="11" t="n"/>
      <c r="G26" s="11" t="n"/>
      <c r="H26" s="11" t="n"/>
      <c r="I26" s="11" t="n"/>
      <c r="J26" s="11" t="n"/>
      <c r="K26" s="11" t="n"/>
      <c r="L26" s="11" t="n"/>
    </row>
    <row r="27">
      <c r="A27" s="10" t="inlineStr">
        <is>
          <t>87A rebate — maximum</t>
        </is>
      </c>
      <c r="B27" s="10" t="inlineStr">
        <is>
          <t>Old Regime</t>
        </is>
      </c>
      <c r="C27" s="10" t="n">
        <v>12500</v>
      </c>
      <c r="D27" s="10" t="inlineStr">
        <is>
          <t>INR</t>
        </is>
      </c>
      <c r="E27" s="10" t="inlineStr">
        <is>
          <t>app/services/tax_year_defaults.py</t>
        </is>
      </c>
      <c r="F27" s="11" t="n"/>
      <c r="G27" s="11" t="n"/>
      <c r="H27" s="11" t="n"/>
      <c r="I27" s="11" t="n"/>
      <c r="J27" s="11" t="n"/>
      <c r="K27" s="11" t="n"/>
      <c r="L27" s="11" t="n"/>
    </row>
    <row r="28">
      <c r="A28" s="10" t="inlineStr">
        <is>
          <t>87A marginal relief applies</t>
        </is>
      </c>
      <c r="B28" s="10" t="inlineStr">
        <is>
          <t>Old Regime</t>
        </is>
      </c>
      <c r="C28" s="10" t="inlineStr">
        <is>
          <t>No</t>
        </is>
      </c>
      <c r="D28" s="10" t="inlineStr">
        <is>
          <t>flag</t>
        </is>
      </c>
      <c r="E28" s="10" t="inlineStr">
        <is>
          <t>app/services/tax_year_defaults.py</t>
        </is>
      </c>
      <c r="F28" s="11" t="n"/>
      <c r="G28" s="11" t="n"/>
      <c r="H28" s="11" t="n"/>
      <c r="I28" s="11" t="n"/>
      <c r="J28" s="11" t="n"/>
      <c r="K28" s="11" t="n"/>
      <c r="L28" s="11" t="n"/>
    </row>
    <row r="29">
      <c r="A29" s="10" t="inlineStr">
        <is>
          <t>Surcharge up to 5,000,000</t>
        </is>
      </c>
      <c r="B29" s="10" t="inlineStr">
        <is>
          <t>Old Regime</t>
        </is>
      </c>
      <c r="C29" s="10" t="n">
        <v>0</v>
      </c>
      <c r="D29" s="10" t="inlineStr">
        <is>
          <t>rate (fraction)</t>
        </is>
      </c>
      <c r="E29" s="10" t="inlineStr">
        <is>
          <t>app/services/tax_year_defaults.py</t>
        </is>
      </c>
      <c r="F29" s="11" t="n"/>
      <c r="G29" s="11" t="n"/>
      <c r="H29" s="11" t="n"/>
      <c r="I29" s="11" t="n"/>
      <c r="J29" s="11" t="n"/>
      <c r="K29" s="11" t="n"/>
      <c r="L29" s="11" t="n"/>
    </row>
    <row r="30">
      <c r="A30" s="10" t="inlineStr">
        <is>
          <t>Surcharge up to 10,000,000</t>
        </is>
      </c>
      <c r="B30" s="10" t="inlineStr">
        <is>
          <t>Old Regime</t>
        </is>
      </c>
      <c r="C30" s="10" t="n">
        <v>0.1</v>
      </c>
      <c r="D30" s="10" t="inlineStr">
        <is>
          <t>rate (fraction)</t>
        </is>
      </c>
      <c r="E30" s="10" t="inlineStr">
        <is>
          <t>app/services/tax_year_defaults.py</t>
        </is>
      </c>
      <c r="F30" s="11" t="n"/>
      <c r="G30" s="11" t="n"/>
      <c r="H30" s="11" t="n"/>
      <c r="I30" s="11" t="n"/>
      <c r="J30" s="11" t="n"/>
      <c r="K30" s="11" t="n"/>
      <c r="L30" s="11" t="n"/>
    </row>
    <row r="31">
      <c r="A31" s="10" t="inlineStr">
        <is>
          <t>Surcharge up to 20,000,000</t>
        </is>
      </c>
      <c r="B31" s="10" t="inlineStr">
        <is>
          <t>Old Regime</t>
        </is>
      </c>
      <c r="C31" s="10" t="n">
        <v>0.15</v>
      </c>
      <c r="D31" s="10" t="inlineStr">
        <is>
          <t>rate (fraction)</t>
        </is>
      </c>
      <c r="E31" s="10" t="inlineStr">
        <is>
          <t>app/services/tax_year_defaults.py</t>
        </is>
      </c>
      <c r="F31" s="11" t="n"/>
      <c r="G31" s="11" t="n"/>
      <c r="H31" s="11" t="n"/>
      <c r="I31" s="11" t="n"/>
      <c r="J31" s="11" t="n"/>
      <c r="K31" s="11" t="n"/>
      <c r="L31" s="11" t="n"/>
    </row>
    <row r="32">
      <c r="A32" s="10" t="inlineStr">
        <is>
          <t>Surcharge up to 50,000,000</t>
        </is>
      </c>
      <c r="B32" s="10" t="inlineStr">
        <is>
          <t>Old Regime</t>
        </is>
      </c>
      <c r="C32" s="10" t="n">
        <v>0.25</v>
      </c>
      <c r="D32" s="10" t="inlineStr">
        <is>
          <t>rate (fraction)</t>
        </is>
      </c>
      <c r="E32" s="10" t="inlineStr">
        <is>
          <t>app/services/tax_year_defaults.py</t>
        </is>
      </c>
      <c r="F32" s="11" t="n"/>
      <c r="G32" s="11" t="n"/>
      <c r="H32" s="11" t="n"/>
      <c r="I32" s="11" t="n"/>
      <c r="J32" s="11" t="n"/>
      <c r="K32" s="11" t="n"/>
      <c r="L32" s="11" t="n"/>
    </row>
    <row r="33">
      <c r="A33" s="10" t="inlineStr">
        <is>
          <t>Surcharge up to above top band</t>
        </is>
      </c>
      <c r="B33" s="10" t="inlineStr">
        <is>
          <t>Old Regime</t>
        </is>
      </c>
      <c r="C33" s="10" t="n">
        <v>0.37</v>
      </c>
      <c r="D33" s="10" t="inlineStr">
        <is>
          <t>rate (fraction)</t>
        </is>
      </c>
      <c r="E33" s="10" t="inlineStr">
        <is>
          <t>app/services/tax_year_defaults.py</t>
        </is>
      </c>
      <c r="F33" s="11" t="n"/>
      <c r="G33" s="11" t="n"/>
      <c r="H33" s="11" t="n"/>
      <c r="I33" s="11" t="n"/>
      <c r="J33" s="11" t="n"/>
      <c r="K33" s="11" t="n"/>
      <c r="L33" s="11" t="n"/>
    </row>
    <row r="34">
      <c r="A34" s="10" t="inlineStr">
        <is>
          <t>Chapter VI-A deductions allowed</t>
        </is>
      </c>
      <c r="B34" s="10" t="inlineStr">
        <is>
          <t>Old Regime</t>
        </is>
      </c>
      <c r="C34" s="10" t="inlineStr">
        <is>
          <t>Yes</t>
        </is>
      </c>
      <c r="D34" s="10" t="inlineStr">
        <is>
          <t>flag</t>
        </is>
      </c>
      <c r="E34" s="10" t="inlineStr">
        <is>
          <t>app/services/tax_year_defaults.py</t>
        </is>
      </c>
      <c r="F34" s="11" t="n"/>
      <c r="G34" s="11" t="n"/>
      <c r="H34" s="11" t="n"/>
      <c r="I34" s="11" t="n"/>
      <c r="J34" s="11" t="n"/>
      <c r="K34" s="11" t="n"/>
      <c r="L34" s="11" t="n"/>
    </row>
    <row r="35">
      <c r="A35" s="10" t="inlineStr">
        <is>
          <t>Health &amp; education cess</t>
        </is>
      </c>
      <c r="B35" s="10" t="inlineStr">
        <is>
          <t>Both</t>
        </is>
      </c>
      <c r="C35" s="10" t="n">
        <v>0.04</v>
      </c>
      <c r="D35" s="10" t="inlineStr">
        <is>
          <t>rate (fraction)</t>
        </is>
      </c>
      <c r="E35" s="10" t="inlineStr">
        <is>
          <t>app/services/tax_year_defaults.py</t>
        </is>
      </c>
      <c r="F35" s="11" t="n"/>
      <c r="G35" s="11" t="n"/>
      <c r="H35" s="11" t="n"/>
      <c r="I35" s="11" t="n"/>
      <c r="J35" s="11" t="n"/>
      <c r="K35" s="11" t="n"/>
      <c r="L35" s="11" t="n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42" customWidth="1" min="4" max="4"/>
    <col width="11" customWidth="1" min="5" max="5"/>
    <col width="18" customWidth="1" min="6" max="6"/>
    <col width="15" customWidth="1" min="7" max="7"/>
    <col width="34" customWidth="1" min="8" max="8"/>
    <col width="16" customWidth="1" min="9" max="9"/>
    <col width="14" customWidth="1" min="10" max="10"/>
    <col width="40" customWidth="1" min="11" max="11"/>
  </cols>
  <sheetData>
    <row r="1">
      <c r="A1" s="7" t="inlineStr">
        <is>
          <t>Provident Fund and ESIC</t>
        </is>
      </c>
    </row>
    <row r="2" ht="30" customHeight="1">
      <c r="A2" s="8" t="inlineStr">
        <is>
          <t>Central rates. These change rarely, but the PF wage ceiling has been under review for years and a change here moves every payslip in the country.</t>
        </is>
      </c>
    </row>
    <row r="4" ht="30" customHeight="1">
      <c r="A4" s="9" t="inlineStr">
        <is>
          <t>Parameter</t>
        </is>
      </c>
      <c r="B4" s="9" t="inlineStr">
        <is>
          <t>Value in code</t>
        </is>
      </c>
      <c r="C4" s="9" t="inlineStr">
        <is>
          <t>Unit</t>
        </is>
      </c>
      <c r="D4" s="9" t="inlineStr">
        <is>
          <t>Where in code</t>
        </is>
      </c>
      <c r="E4" s="9" t="inlineStr">
        <is>
          <t>Correct?</t>
        </is>
      </c>
      <c r="F4" s="9" t="inlineStr">
        <is>
          <t>Corrected value</t>
        </is>
      </c>
      <c r="G4" s="9" t="inlineStr">
        <is>
          <t>Effective from</t>
        </is>
      </c>
      <c r="H4" s="9" t="inlineStr">
        <is>
          <t>Source cited by reviewer</t>
        </is>
      </c>
      <c r="I4" s="9" t="inlineStr">
        <is>
          <t>Reviewer initials</t>
        </is>
      </c>
      <c r="J4" s="9" t="inlineStr">
        <is>
          <t>Date checked</t>
        </is>
      </c>
      <c r="K4" s="9" t="inlineStr">
        <is>
          <t>Notes</t>
        </is>
      </c>
    </row>
    <row r="5">
      <c r="A5" s="10" t="inlineStr">
        <is>
          <t>PF — employee contribution</t>
        </is>
      </c>
      <c r="B5" s="10" t="n">
        <v>0.12</v>
      </c>
      <c r="C5" s="10" t="inlineStr">
        <is>
          <t>rate (fraction)</t>
        </is>
      </c>
      <c r="D5" s="10" t="inlineStr">
        <is>
          <t>app/schemas/statutory_config.py</t>
        </is>
      </c>
      <c r="E5" s="11" t="n"/>
      <c r="F5" s="11" t="n"/>
      <c r="G5" s="11" t="n"/>
      <c r="H5" s="11" t="n"/>
      <c r="I5" s="11" t="n"/>
      <c r="J5" s="11" t="n"/>
      <c r="K5" s="11" t="n"/>
    </row>
    <row r="6">
      <c r="A6" s="10" t="inlineStr">
        <is>
          <t>PF — employer contribution</t>
        </is>
      </c>
      <c r="B6" s="10" t="n">
        <v>0.12</v>
      </c>
      <c r="C6" s="10" t="inlineStr">
        <is>
          <t>rate (fraction)</t>
        </is>
      </c>
      <c r="D6" s="10" t="inlineStr">
        <is>
          <t>app/schemas/statutory_config.py</t>
        </is>
      </c>
      <c r="E6" s="11" t="n"/>
      <c r="F6" s="11" t="n"/>
      <c r="G6" s="11" t="n"/>
      <c r="H6" s="11" t="n"/>
      <c r="I6" s="11" t="n"/>
      <c r="J6" s="11" t="n"/>
      <c r="K6" s="11" t="n"/>
    </row>
    <row r="7">
      <c r="A7" s="10" t="inlineStr">
        <is>
          <t>PF — EPS share of employer</t>
        </is>
      </c>
      <c r="B7" s="10" t="n">
        <v>0.0833</v>
      </c>
      <c r="C7" s="10" t="inlineStr">
        <is>
          <t>rate (fraction)</t>
        </is>
      </c>
      <c r="D7" s="10" t="inlineStr">
        <is>
          <t>app/schemas/statutory_config.py</t>
        </is>
      </c>
      <c r="E7" s="11" t="n"/>
      <c r="F7" s="11" t="n"/>
      <c r="G7" s="11" t="n"/>
      <c r="H7" s="11" t="n"/>
      <c r="I7" s="11" t="n"/>
      <c r="J7" s="11" t="n"/>
      <c r="K7" s="11" t="n"/>
    </row>
    <row r="8">
      <c r="A8" s="10" t="inlineStr">
        <is>
          <t>PF — EDLI</t>
        </is>
      </c>
      <c r="B8" s="10" t="n">
        <v>0.005</v>
      </c>
      <c r="C8" s="10" t="inlineStr">
        <is>
          <t>rate (fraction)</t>
        </is>
      </c>
      <c r="D8" s="10" t="inlineStr">
        <is>
          <t>app/schemas/statutory_config.py</t>
        </is>
      </c>
      <c r="E8" s="11" t="n"/>
      <c r="F8" s="11" t="n"/>
      <c r="G8" s="11" t="n"/>
      <c r="H8" s="11" t="n"/>
      <c r="I8" s="11" t="n"/>
      <c r="J8" s="11" t="n"/>
      <c r="K8" s="11" t="n"/>
    </row>
    <row r="9">
      <c r="A9" s="10" t="inlineStr">
        <is>
          <t>PF — admin charges</t>
        </is>
      </c>
      <c r="B9" s="10" t="n">
        <v>0.005</v>
      </c>
      <c r="C9" s="10" t="inlineStr">
        <is>
          <t>rate (fraction)</t>
        </is>
      </c>
      <c r="D9" s="10" t="inlineStr">
        <is>
          <t>app/schemas/statutory_config.py</t>
        </is>
      </c>
      <c r="E9" s="11" t="n"/>
      <c r="F9" s="11" t="n"/>
      <c r="G9" s="11" t="n"/>
      <c r="H9" s="11" t="n"/>
      <c r="I9" s="11" t="n"/>
      <c r="J9" s="11" t="n"/>
      <c r="K9" s="11" t="n"/>
    </row>
    <row r="10">
      <c r="A10" s="10" t="inlineStr">
        <is>
          <t>PF — wage ceiling from 01 Sep 2014 (G.S.R. 609(E), 22 August 2014)</t>
        </is>
      </c>
      <c r="B10" s="10" t="n">
        <v>15000</v>
      </c>
      <c r="C10" s="10" t="inlineStr">
        <is>
          <t>INR per month</t>
        </is>
      </c>
      <c r="D10" s="10" t="inlineStr">
        <is>
          <t>app/services/statutory_calendar.py</t>
        </is>
      </c>
      <c r="E10" s="11" t="n"/>
      <c r="F10" s="11" t="n"/>
      <c r="G10" s="11" t="n"/>
      <c r="H10" s="11" t="n"/>
      <c r="I10" s="11" t="n"/>
      <c r="J10" s="11" t="n"/>
      <c r="K10" s="11" t="n"/>
    </row>
    <row r="11">
      <c r="A11" s="10" t="inlineStr">
        <is>
          <t>PF — wage ceiling from 17 Sep 2026 (S.O. 5109(E), 17 September 2026; EPS amended by G.S.R. 847(E), 25 September 2026)</t>
        </is>
      </c>
      <c r="B11" s="10" t="n">
        <v>25000</v>
      </c>
      <c r="C11" s="10" t="inlineStr">
        <is>
          <t>INR per month</t>
        </is>
      </c>
      <c r="D11" s="10" t="inlineStr">
        <is>
          <t>app/services/statutory_calendar.py</t>
        </is>
      </c>
      <c r="E11" s="11" t="n"/>
      <c r="F11" s="11" t="n"/>
      <c r="G11" s="11" t="n"/>
      <c r="H11" s="11" t="n"/>
      <c r="I11" s="11" t="n"/>
      <c r="J11" s="11" t="n"/>
      <c r="K11" s="11" t="n"/>
    </row>
    <row r="12">
      <c r="A12" s="10" t="inlineStr">
        <is>
          <t>PF — month the ceiling changes is split by days (Sep 2026: 1–16 old, 17–30 new)</t>
        </is>
      </c>
      <c r="B12" s="10" t="inlineStr">
        <is>
          <t>Yes</t>
        </is>
      </c>
      <c r="C12" s="10" t="inlineStr">
        <is>
          <t>flag</t>
        </is>
      </c>
      <c r="D12" s="10" t="inlineStr">
        <is>
          <t>app/services/statutory_calendar.py</t>
        </is>
      </c>
      <c r="E12" s="11" t="n"/>
      <c r="F12" s="11" t="n"/>
      <c r="G12" s="11" t="n"/>
      <c r="H12" s="11" t="n"/>
      <c r="I12" s="11" t="n"/>
      <c r="J12" s="11" t="n"/>
      <c r="K12" s="11" t="n"/>
    </row>
    <row r="13">
      <c r="A13" s="10" t="inlineStr">
        <is>
          <t>PF — cap wage at ceiling by default</t>
        </is>
      </c>
      <c r="B13" s="10" t="inlineStr">
        <is>
          <t>Yes</t>
        </is>
      </c>
      <c r="C13" s="10" t="inlineStr">
        <is>
          <t>flag</t>
        </is>
      </c>
      <c r="D13" s="10" t="inlineStr">
        <is>
          <t>app/schemas/statutory_config.py</t>
        </is>
      </c>
      <c r="E13" s="11" t="n"/>
      <c r="F13" s="11" t="n"/>
      <c r="G13" s="11" t="n"/>
      <c r="H13" s="11" t="n"/>
      <c r="I13" s="11" t="n"/>
      <c r="J13" s="11" t="n"/>
      <c r="K13" s="11" t="n"/>
    </row>
    <row r="14">
      <c r="A14" s="10" t="inlineStr">
        <is>
          <t>ESIC — employee contribution</t>
        </is>
      </c>
      <c r="B14" s="10" t="n">
        <v>0.0075</v>
      </c>
      <c r="C14" s="10" t="inlineStr">
        <is>
          <t>rate (fraction)</t>
        </is>
      </c>
      <c r="D14" s="10" t="inlineStr">
        <is>
          <t>app/schemas/statutory_config.py</t>
        </is>
      </c>
      <c r="E14" s="11" t="n"/>
      <c r="F14" s="11" t="n"/>
      <c r="G14" s="11" t="n"/>
      <c r="H14" s="11" t="n"/>
      <c r="I14" s="11" t="n"/>
      <c r="J14" s="11" t="n"/>
      <c r="K14" s="11" t="n"/>
    </row>
    <row r="15">
      <c r="A15" s="10" t="inlineStr">
        <is>
          <t>ESIC — employer contribution</t>
        </is>
      </c>
      <c r="B15" s="10" t="n">
        <v>0.0325</v>
      </c>
      <c r="C15" s="10" t="inlineStr">
        <is>
          <t>rate (fraction)</t>
        </is>
      </c>
      <c r="D15" s="10" t="inlineStr">
        <is>
          <t>app/schemas/statutory_config.py</t>
        </is>
      </c>
      <c r="E15" s="11" t="n"/>
      <c r="F15" s="11" t="n"/>
      <c r="G15" s="11" t="n"/>
      <c r="H15" s="11" t="n"/>
      <c r="I15" s="11" t="n"/>
      <c r="J15" s="11" t="n"/>
      <c r="K15" s="11" t="n"/>
    </row>
    <row r="16">
      <c r="A16" s="10" t="inlineStr">
        <is>
          <t>PF — EPS cap and post-2014 joiner limit follow the wage ceiling (joiner: ceiling on joining date)</t>
        </is>
      </c>
      <c r="B16" s="10" t="inlineStr">
        <is>
          <t>Yes</t>
        </is>
      </c>
      <c r="C16" s="10" t="inlineStr">
        <is>
          <t>flag</t>
        </is>
      </c>
      <c r="D16" s="10" t="inlineStr">
        <is>
          <t>app/services/rule_engine_v2.py (PF-004)</t>
        </is>
      </c>
      <c r="E16" s="11" t="n"/>
      <c r="F16" s="11" t="n"/>
      <c r="G16" s="11" t="n"/>
      <c r="H16" s="11" t="n"/>
      <c r="I16" s="11" t="n"/>
      <c r="J16" s="11" t="n"/>
      <c r="K16" s="11" t="n"/>
    </row>
    <row r="17">
      <c r="A17" s="10" t="inlineStr">
        <is>
          <t>ESIC — eligibility ceiling</t>
        </is>
      </c>
      <c r="B17" s="10" t="n">
        <v>21000</v>
      </c>
      <c r="C17" s="10" t="inlineStr">
        <is>
          <t>INR per month</t>
        </is>
      </c>
      <c r="D17" s="10" t="inlineStr">
        <is>
          <t>app/schemas/statutory_config.py</t>
        </is>
      </c>
      <c r="E17" s="11" t="n"/>
      <c r="F17" s="11" t="n"/>
      <c r="G17" s="11" t="n"/>
      <c r="H17" s="11" t="n"/>
      <c r="I17" s="11" t="n"/>
      <c r="J17" s="11" t="n"/>
      <c r="K17" s="11" t="n"/>
    </row>
    <row r="18">
      <c r="A18" s="10" t="inlineStr">
        <is>
          <t>ESIC — contribution periods start (months); coverage lasts to period end, s.2(9)</t>
        </is>
      </c>
      <c r="B18" s="10" t="inlineStr">
        <is>
          <t>4, 10</t>
        </is>
      </c>
      <c r="C18" s="10" t="inlineStr">
        <is>
          <t>month numbers</t>
        </is>
      </c>
      <c r="D18" s="10" t="inlineStr">
        <is>
          <t>app/services/statutory_calendar.py</t>
        </is>
      </c>
      <c r="E18" s="11" t="n"/>
      <c r="F18" s="11" t="n"/>
      <c r="G18" s="11" t="n"/>
      <c r="H18" s="11" t="n"/>
      <c r="I18" s="11" t="n"/>
      <c r="J18" s="11" t="n"/>
      <c r="K18" s="11" t="n"/>
    </row>
    <row r="19">
      <c r="A19" s="10" t="inlineStr">
        <is>
          <t>Gratuity — accrual fraction</t>
        </is>
      </c>
      <c r="B19" s="10" t="inlineStr">
        <is>
          <t>15/26 per year</t>
        </is>
      </c>
      <c r="C19" s="10" t="inlineStr">
        <is>
          <t>fraction of Basic+DA</t>
        </is>
      </c>
      <c r="D19" s="10" t="inlineStr">
        <is>
          <t>app/services/cost_model.py</t>
        </is>
      </c>
      <c r="E19" s="11" t="n"/>
      <c r="F19" s="11" t="n"/>
      <c r="G19" s="11" t="n"/>
      <c r="H19" s="11" t="n"/>
      <c r="I19" s="11" t="n"/>
      <c r="J19" s="11" t="n"/>
      <c r="K19" s="11" t="n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2" customWidth="1" min="3" max="3"/>
    <col width="42" customWidth="1" min="4" max="4"/>
    <col width="11" customWidth="1" min="5" max="5"/>
    <col width="18" customWidth="1" min="6" max="6"/>
    <col width="15" customWidth="1" min="7" max="7"/>
    <col width="34" customWidth="1" min="8" max="8"/>
    <col width="16" customWidth="1" min="9" max="9"/>
    <col width="14" customWidth="1" min="10" max="10"/>
    <col width="40" customWidth="1" min="11" max="11"/>
  </cols>
  <sheetData>
    <row r="1">
      <c r="A1" s="7" t="inlineStr">
        <is>
          <t>Labour Codes — wage definition and gratuity</t>
        </is>
      </c>
    </row>
    <row r="2" ht="30" customHeight="1">
      <c r="A2" s="8" t="inlineStr">
        <is>
          <t>In force from 21 November 2025. These values drive LC-001 and the gratuity checks (GRAT-002, GRAT-003, GRAT-005). Each company can change them under Configuration &amp; admin → Income tax &amp; thresholds.</t>
        </is>
      </c>
    </row>
    <row r="4" ht="30" customHeight="1">
      <c r="A4" s="9" t="inlineStr">
        <is>
          <t>Parameter</t>
        </is>
      </c>
      <c r="B4" s="9" t="inlineStr">
        <is>
          <t>Value in code</t>
        </is>
      </c>
      <c r="C4" s="9" t="inlineStr">
        <is>
          <t>Unit</t>
        </is>
      </c>
      <c r="D4" s="9" t="inlineStr">
        <is>
          <t>Where in code</t>
        </is>
      </c>
      <c r="E4" s="9" t="inlineStr">
        <is>
          <t>Correct?</t>
        </is>
      </c>
      <c r="F4" s="9" t="inlineStr">
        <is>
          <t>Corrected value</t>
        </is>
      </c>
      <c r="G4" s="9" t="inlineStr">
        <is>
          <t>Effective from</t>
        </is>
      </c>
      <c r="H4" s="9" t="inlineStr">
        <is>
          <t>Source cited by reviewer</t>
        </is>
      </c>
      <c r="I4" s="9" t="inlineStr">
        <is>
          <t>Reviewer initials</t>
        </is>
      </c>
      <c r="J4" s="9" t="inlineStr">
        <is>
          <t>Date checked</t>
        </is>
      </c>
      <c r="K4" s="9" t="inlineStr">
        <is>
          <t>Notes</t>
        </is>
      </c>
    </row>
    <row r="5">
      <c r="A5" s="10" t="inlineStr">
        <is>
          <t>Codes effective from</t>
        </is>
      </c>
      <c r="B5" s="10" t="inlineStr">
        <is>
          <t>2025-11-21</t>
        </is>
      </c>
      <c r="C5" s="10" t="inlineStr">
        <is>
          <t>date</t>
        </is>
      </c>
      <c r="D5" s="10" t="inlineStr">
        <is>
          <t>app/schemas/rule_thresholds.py</t>
        </is>
      </c>
      <c r="E5" s="11" t="n"/>
      <c r="F5" s="11" t="n"/>
      <c r="G5" s="11" t="n"/>
      <c r="H5" s="11" t="n"/>
      <c r="I5" s="11" t="n"/>
      <c r="J5" s="11" t="n"/>
      <c r="K5" s="11" t="n"/>
    </row>
    <row r="6">
      <c r="A6" s="10" t="inlineStr">
        <is>
          <t>Wage definition — exclusions cap</t>
        </is>
      </c>
      <c r="B6" s="10" t="n">
        <v>50</v>
      </c>
      <c r="C6" s="10" t="inlineStr">
        <is>
          <t>% of remuneration</t>
        </is>
      </c>
      <c r="D6" s="10" t="inlineStr">
        <is>
          <t>app/schemas/rule_thresholds.py</t>
        </is>
      </c>
      <c r="E6" s="11" t="n"/>
      <c r="F6" s="11" t="n"/>
      <c r="G6" s="11" t="n"/>
      <c r="H6" s="11" t="n"/>
      <c r="I6" s="11" t="n"/>
      <c r="J6" s="11" t="n"/>
      <c r="K6" s="11" t="n"/>
    </row>
    <row r="7">
      <c r="A7" s="10" t="inlineStr">
        <is>
          <t>Wage components (empty = PF-applicable)</t>
        </is>
      </c>
      <c r="B7" s="10" t="inlineStr">
        <is>
          <t>PF-applicable components</t>
        </is>
      </c>
      <c r="C7" s="10" t="inlineStr">
        <is>
          <t>component keys</t>
        </is>
      </c>
      <c r="D7" s="10" t="inlineStr">
        <is>
          <t>app/schemas/rule_thresholds.py</t>
        </is>
      </c>
      <c r="E7" s="11" t="n"/>
      <c r="F7" s="11" t="n"/>
      <c r="G7" s="11" t="n"/>
      <c r="H7" s="11" t="n"/>
      <c r="I7" s="11" t="n"/>
      <c r="J7" s="11" t="n"/>
      <c r="K7" s="11" t="n"/>
    </row>
    <row r="8">
      <c r="A8" s="10" t="inlineStr">
        <is>
          <t>One-off payments left out of the 50% test</t>
        </is>
      </c>
      <c r="B8" s="10" t="inlineStr">
        <is>
          <t>gratuity, leave_encashment, retrenchment_compensation, notice_pay, bonus, ex_gratia</t>
        </is>
      </c>
      <c r="C8" s="10" t="inlineStr">
        <is>
          <t>component keys</t>
        </is>
      </c>
      <c r="D8" s="10" t="inlineStr">
        <is>
          <t>app/schemas/rule_thresholds.py</t>
        </is>
      </c>
      <c r="E8" s="11" t="n"/>
      <c r="F8" s="11" t="n"/>
      <c r="G8" s="11" t="n"/>
      <c r="H8" s="11" t="n"/>
      <c r="I8" s="11" t="n"/>
      <c r="J8" s="11" t="n"/>
      <c r="K8" s="11" t="n"/>
    </row>
    <row r="9">
      <c r="A9" s="10" t="inlineStr">
        <is>
          <t>Fixed-term gratuity — minimum service</t>
        </is>
      </c>
      <c r="B9" s="10" t="n">
        <v>1</v>
      </c>
      <c r="C9" s="10" t="inlineStr">
        <is>
          <t>years (counted in days)</t>
        </is>
      </c>
      <c r="D9" s="10" t="inlineStr">
        <is>
          <t>app/schemas/rule_thresholds.py</t>
        </is>
      </c>
      <c r="E9" s="11" t="n"/>
      <c r="F9" s="11" t="n"/>
      <c r="G9" s="11" t="n"/>
      <c r="H9" s="11" t="n"/>
      <c r="I9" s="11" t="n"/>
      <c r="J9" s="11" t="n"/>
      <c r="K9" s="11" t="n"/>
    </row>
    <row r="10">
      <c r="A10" s="10" t="inlineStr">
        <is>
          <t>Fixed-term employment types</t>
        </is>
      </c>
      <c r="B10" s="10" t="inlineStr">
        <is>
          <t>fixed term, fixed term employee, fixed term contract, ftc</t>
        </is>
      </c>
      <c r="C10" s="10" t="inlineStr">
        <is>
          <t>employment_type values</t>
        </is>
      </c>
      <c r="D10" s="10" t="inlineStr">
        <is>
          <t>app/schemas/rule_thresholds.py</t>
        </is>
      </c>
      <c r="E10" s="11" t="n"/>
      <c r="F10" s="11" t="n"/>
      <c r="G10" s="11" t="n"/>
      <c r="H10" s="11" t="n"/>
      <c r="I10" s="11" t="n"/>
      <c r="J10" s="11" t="n"/>
      <c r="K10" s="11" t="n"/>
    </row>
    <row r="11">
      <c r="A11" s="10" t="inlineStr">
        <is>
          <t>Gratuity — minimum service (others)</t>
        </is>
      </c>
      <c r="B11" s="10" t="n">
        <v>5</v>
      </c>
      <c r="C11" s="10" t="inlineStr">
        <is>
          <t>years (completed)</t>
        </is>
      </c>
      <c r="D11" s="10" t="inlineStr">
        <is>
          <t>app/schemas/rule_thresholds.py</t>
        </is>
      </c>
      <c r="E11" s="11" t="n"/>
      <c r="F11" s="11" t="n"/>
      <c r="G11" s="11" t="n"/>
      <c r="H11" s="11" t="n"/>
      <c r="I11" s="11" t="n"/>
      <c r="J11" s="11" t="n"/>
      <c r="K11" s="11" t="n"/>
    </row>
    <row r="12">
      <c r="A12" s="10" t="inlineStr">
        <is>
          <t>Gratuity — days of wages per year</t>
        </is>
      </c>
      <c r="B12" s="10" t="inlineStr">
        <is>
          <t>15/26</t>
        </is>
      </c>
      <c r="C12" s="10" t="inlineStr">
        <is>
          <t>fraction of monthly wages</t>
        </is>
      </c>
      <c r="D12" s="10" t="inlineStr">
        <is>
          <t>app/schemas/rule_thresholds.py</t>
        </is>
      </c>
      <c r="E12" s="11" t="n"/>
      <c r="F12" s="11" t="n"/>
      <c r="G12" s="11" t="n"/>
      <c r="H12" s="11" t="n"/>
      <c r="I12" s="11" t="n"/>
      <c r="J12" s="11" t="n"/>
      <c r="K12" s="11" t="n"/>
    </row>
    <row r="13">
      <c r="A13" s="10" t="inlineStr">
        <is>
          <t>PF on the deemed wages</t>
        </is>
      </c>
      <c r="B13" s="10" t="inlineStr">
        <is>
          <t>Reported by LC-001, not yet expected by STAT-001</t>
        </is>
      </c>
      <c r="C13" s="10" t="inlineStr">
        <is>
          <t>policy</t>
        </is>
      </c>
      <c r="D13" s="10" t="inlineStr">
        <is>
          <t>app/schemas/rule_thresholds.py</t>
        </is>
      </c>
      <c r="E13" s="11" t="n"/>
      <c r="F13" s="11" t="n"/>
      <c r="G13" s="11" t="n"/>
      <c r="H13" s="11" t="n"/>
      <c r="I13" s="11" t="n"/>
      <c r="J13" s="11" t="n"/>
      <c r="K13" s="11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3" customWidth="1" min="5" max="5"/>
    <col width="10" customWidth="1" min="6" max="6"/>
    <col width="14" customWidth="1" min="7" max="7"/>
    <col width="14" customWidth="1" min="8" max="8"/>
    <col width="44" customWidth="1" min="9" max="9"/>
    <col width="11" customWidth="1" min="10" max="10"/>
    <col width="18" customWidth="1" min="11" max="11"/>
    <col width="15" customWidth="1" min="12" max="12"/>
    <col width="34" customWidth="1" min="13" max="13"/>
    <col width="16" customWidth="1" min="14" max="14"/>
    <col width="14" customWidth="1" min="15" max="15"/>
    <col width="40" customWidth="1" min="16" max="16"/>
  </cols>
  <sheetData>
    <row r="1">
      <c r="A1" s="7" t="inlineStr">
        <is>
          <t>Professional Tax — shipped state defaults</t>
        </is>
      </c>
    </row>
    <row r="2" ht="30" customHeight="1">
      <c r="A2" s="8" t="inlineStr">
        <is>
          <t>22 states, each amending on its own timetable. Source stated in code: Simpliance e-Library, verified late-2025 / early-2026. Check the states your clients actually operate in first.</t>
        </is>
      </c>
    </row>
    <row r="4" ht="30" customHeight="1">
      <c r="A4" s="9" t="inlineStr">
        <is>
          <t>State</t>
        </is>
      </c>
      <c r="B4" s="9" t="inlineStr">
        <is>
          <t>Wage from</t>
        </is>
      </c>
      <c r="C4" s="9" t="inlineStr">
        <is>
          <t>Wage to</t>
        </is>
      </c>
      <c r="D4" s="9" t="inlineStr">
        <is>
          <t>Amount</t>
        </is>
      </c>
      <c r="E4" s="9" t="inlineStr">
        <is>
          <t>Frequency</t>
        </is>
      </c>
      <c r="F4" s="9" t="inlineStr">
        <is>
          <t>Gender</t>
        </is>
      </c>
      <c r="G4" s="9" t="inlineStr">
        <is>
          <t>Months</t>
        </is>
      </c>
      <c r="H4" s="9" t="inlineStr">
        <is>
          <t>Effective from</t>
        </is>
      </c>
      <c r="I4" s="9" t="inlineStr">
        <is>
          <t>Source stated in code</t>
        </is>
      </c>
      <c r="J4" s="9" t="inlineStr">
        <is>
          <t>Correct?</t>
        </is>
      </c>
      <c r="K4" s="9" t="inlineStr">
        <is>
          <t>Corrected value</t>
        </is>
      </c>
      <c r="L4" s="9" t="inlineStr">
        <is>
          <t>Effective from</t>
        </is>
      </c>
      <c r="M4" s="9" t="inlineStr">
        <is>
          <t>Source cited by reviewer</t>
        </is>
      </c>
      <c r="N4" s="9" t="inlineStr">
        <is>
          <t>Reviewer initials</t>
        </is>
      </c>
      <c r="O4" s="9" t="inlineStr">
        <is>
          <t>Date checked</t>
        </is>
      </c>
      <c r="P4" s="9" t="inlineStr">
        <is>
          <t>Notes</t>
        </is>
      </c>
    </row>
    <row r="5">
      <c r="A5" s="10" t="inlineStr">
        <is>
          <t>Andhra Pradesh</t>
        </is>
      </c>
      <c r="B5" s="10" t="n">
        <v>0</v>
      </c>
      <c r="C5" s="10" t="n">
        <v>15000</v>
      </c>
      <c r="D5" s="10" t="n">
        <v>0</v>
      </c>
      <c r="E5" s="10" t="inlineStr">
        <is>
          <t>monthly</t>
        </is>
      </c>
      <c r="F5" s="10" t="inlineStr">
        <is>
          <t>ALL</t>
        </is>
      </c>
      <c r="G5" s="10" t="inlineStr">
        <is>
          <t>all</t>
        </is>
      </c>
      <c r="H5" s="10" t="inlineStr">
        <is>
          <t>—</t>
        </is>
      </c>
      <c r="I5" s="10" t="inlineStr">
        <is>
          <t>— no source cited —</t>
        </is>
      </c>
      <c r="J5" s="11" t="n"/>
      <c r="K5" s="11" t="n"/>
      <c r="L5" s="11" t="n"/>
      <c r="M5" s="11" t="n"/>
      <c r="N5" s="11" t="n"/>
      <c r="O5" s="11" t="n"/>
      <c r="P5" s="11" t="n"/>
    </row>
    <row r="6">
      <c r="A6" s="10" t="inlineStr">
        <is>
          <t>Andhra Pradesh</t>
        </is>
      </c>
      <c r="B6" s="10" t="n">
        <v>15001</v>
      </c>
      <c r="C6" s="10" t="n">
        <v>20000</v>
      </c>
      <c r="D6" s="10" t="n">
        <v>150</v>
      </c>
      <c r="E6" s="10" t="inlineStr">
        <is>
          <t>monthly</t>
        </is>
      </c>
      <c r="F6" s="10" t="inlineStr">
        <is>
          <t>ALL</t>
        </is>
      </c>
      <c r="G6" s="10" t="inlineStr">
        <is>
          <t>all</t>
        </is>
      </c>
      <c r="H6" s="10" t="inlineStr">
        <is>
          <t>—</t>
        </is>
      </c>
      <c r="I6" s="10" t="inlineStr">
        <is>
          <t>— no source cited —</t>
        </is>
      </c>
      <c r="J6" s="11" t="n"/>
      <c r="K6" s="11" t="n"/>
      <c r="L6" s="11" t="n"/>
      <c r="M6" s="11" t="n"/>
      <c r="N6" s="11" t="n"/>
      <c r="O6" s="11" t="n"/>
      <c r="P6" s="11" t="n"/>
    </row>
    <row r="7">
      <c r="A7" s="10" t="inlineStr">
        <is>
          <t>Andhra Pradesh</t>
        </is>
      </c>
      <c r="B7" s="10" t="n">
        <v>20001</v>
      </c>
      <c r="C7" s="10" t="n">
        <v>99999999</v>
      </c>
      <c r="D7" s="10" t="n">
        <v>200</v>
      </c>
      <c r="E7" s="10" t="inlineStr">
        <is>
          <t>monthly</t>
        </is>
      </c>
      <c r="F7" s="10" t="inlineStr">
        <is>
          <t>ALL</t>
        </is>
      </c>
      <c r="G7" s="10" t="inlineStr">
        <is>
          <t>all</t>
        </is>
      </c>
      <c r="H7" s="10" t="inlineStr">
        <is>
          <t>—</t>
        </is>
      </c>
      <c r="I7" s="10" t="inlineStr">
        <is>
          <t>— no source cited —</t>
        </is>
      </c>
      <c r="J7" s="11" t="n"/>
      <c r="K7" s="11" t="n"/>
      <c r="L7" s="11" t="n"/>
      <c r="M7" s="11" t="n"/>
      <c r="N7" s="11" t="n"/>
      <c r="O7" s="11" t="n"/>
      <c r="P7" s="11" t="n"/>
    </row>
    <row r="8">
      <c r="A8" s="10" t="inlineStr">
        <is>
          <t>Assam</t>
        </is>
      </c>
      <c r="B8" s="10" t="n">
        <v>0</v>
      </c>
      <c r="C8" s="10" t="n">
        <v>15000</v>
      </c>
      <c r="D8" s="10" t="n">
        <v>0</v>
      </c>
      <c r="E8" s="10" t="inlineStr">
        <is>
          <t>monthly</t>
        </is>
      </c>
      <c r="F8" s="10" t="inlineStr">
        <is>
          <t>ALL</t>
        </is>
      </c>
      <c r="G8" s="10" t="inlineStr">
        <is>
          <t>all</t>
        </is>
      </c>
      <c r="H8" s="10" t="inlineStr">
        <is>
          <t>—</t>
        </is>
      </c>
      <c r="I8" s="10" t="inlineStr">
        <is>
          <t>— no source cited —</t>
        </is>
      </c>
      <c r="J8" s="11" t="n"/>
      <c r="K8" s="11" t="n"/>
      <c r="L8" s="11" t="n"/>
      <c r="M8" s="11" t="n"/>
      <c r="N8" s="11" t="n"/>
      <c r="O8" s="11" t="n"/>
      <c r="P8" s="11" t="n"/>
    </row>
    <row r="9">
      <c r="A9" s="10" t="inlineStr">
        <is>
          <t>Assam</t>
        </is>
      </c>
      <c r="B9" s="10" t="n">
        <v>15001</v>
      </c>
      <c r="C9" s="10" t="n">
        <v>25000</v>
      </c>
      <c r="D9" s="10" t="n">
        <v>180</v>
      </c>
      <c r="E9" s="10" t="inlineStr">
        <is>
          <t>monthly</t>
        </is>
      </c>
      <c r="F9" s="10" t="inlineStr">
        <is>
          <t>ALL</t>
        </is>
      </c>
      <c r="G9" s="10" t="inlineStr">
        <is>
          <t>all</t>
        </is>
      </c>
      <c r="H9" s="10" t="inlineStr">
        <is>
          <t>—</t>
        </is>
      </c>
      <c r="I9" s="10" t="inlineStr">
        <is>
          <t>— no source cited —</t>
        </is>
      </c>
      <c r="J9" s="11" t="n"/>
      <c r="K9" s="11" t="n"/>
      <c r="L9" s="11" t="n"/>
      <c r="M9" s="11" t="n"/>
      <c r="N9" s="11" t="n"/>
      <c r="O9" s="11" t="n"/>
      <c r="P9" s="11" t="n"/>
    </row>
    <row r="10">
      <c r="A10" s="10" t="inlineStr">
        <is>
          <t>Assam</t>
        </is>
      </c>
      <c r="B10" s="10" t="n">
        <v>25001</v>
      </c>
      <c r="C10" s="10" t="n">
        <v>99999999</v>
      </c>
      <c r="D10" s="10" t="n">
        <v>208</v>
      </c>
      <c r="E10" s="10" t="inlineStr">
        <is>
          <t>monthly</t>
        </is>
      </c>
      <c r="F10" s="10" t="inlineStr">
        <is>
          <t>ALL</t>
        </is>
      </c>
      <c r="G10" s="10" t="inlineStr">
        <is>
          <t>all</t>
        </is>
      </c>
      <c r="H10" s="10" t="inlineStr">
        <is>
          <t>—</t>
        </is>
      </c>
      <c r="I10" s="10" t="inlineStr">
        <is>
          <t>— no source cited —</t>
        </is>
      </c>
      <c r="J10" s="11" t="n"/>
      <c r="K10" s="11" t="n"/>
      <c r="L10" s="11" t="n"/>
      <c r="M10" s="11" t="n"/>
      <c r="N10" s="11" t="n"/>
      <c r="O10" s="11" t="n"/>
      <c r="P10" s="11" t="n"/>
    </row>
    <row r="11">
      <c r="A11" s="10" t="inlineStr">
        <is>
          <t>Bihar</t>
        </is>
      </c>
      <c r="B11" s="10" t="n">
        <v>0</v>
      </c>
      <c r="C11" s="10" t="n">
        <v>300000</v>
      </c>
      <c r="D11" s="10" t="n">
        <v>0</v>
      </c>
      <c r="E11" s="10" t="inlineStr">
        <is>
          <t>yearly</t>
        </is>
      </c>
      <c r="F11" s="10" t="inlineStr">
        <is>
          <t>ALL</t>
        </is>
      </c>
      <c r="G11" s="10" t="inlineStr">
        <is>
          <t>all</t>
        </is>
      </c>
      <c r="H11" s="10" t="inlineStr">
        <is>
          <t>—</t>
        </is>
      </c>
      <c r="I11" s="10" t="inlineStr">
        <is>
          <t>— no source cited —</t>
        </is>
      </c>
      <c r="J11" s="11" t="n"/>
      <c r="K11" s="11" t="n"/>
      <c r="L11" s="11" t="n"/>
      <c r="M11" s="11" t="n"/>
      <c r="N11" s="11" t="n"/>
      <c r="O11" s="11" t="n"/>
      <c r="P11" s="11" t="n"/>
    </row>
    <row r="12">
      <c r="A12" s="10" t="inlineStr">
        <is>
          <t>Bihar</t>
        </is>
      </c>
      <c r="B12" s="10" t="n">
        <v>300001</v>
      </c>
      <c r="C12" s="10" t="n">
        <v>500000</v>
      </c>
      <c r="D12" s="10" t="n">
        <v>1000</v>
      </c>
      <c r="E12" s="10" t="inlineStr">
        <is>
          <t>yearly</t>
        </is>
      </c>
      <c r="F12" s="10" t="inlineStr">
        <is>
          <t>ALL</t>
        </is>
      </c>
      <c r="G12" s="10" t="inlineStr">
        <is>
          <t>all</t>
        </is>
      </c>
      <c r="H12" s="10" t="inlineStr">
        <is>
          <t>—</t>
        </is>
      </c>
      <c r="I12" s="10" t="inlineStr">
        <is>
          <t>— no source cited —</t>
        </is>
      </c>
      <c r="J12" s="11" t="n"/>
      <c r="K12" s="11" t="n"/>
      <c r="L12" s="11" t="n"/>
      <c r="M12" s="11" t="n"/>
      <c r="N12" s="11" t="n"/>
      <c r="O12" s="11" t="n"/>
      <c r="P12" s="11" t="n"/>
    </row>
    <row r="13">
      <c r="A13" s="10" t="inlineStr">
        <is>
          <t>Bihar</t>
        </is>
      </c>
      <c r="B13" s="10" t="n">
        <v>500001</v>
      </c>
      <c r="C13" s="10" t="n">
        <v>1000000</v>
      </c>
      <c r="D13" s="10" t="n">
        <v>2000</v>
      </c>
      <c r="E13" s="10" t="inlineStr">
        <is>
          <t>yearly</t>
        </is>
      </c>
      <c r="F13" s="10" t="inlineStr">
        <is>
          <t>ALL</t>
        </is>
      </c>
      <c r="G13" s="10" t="inlineStr">
        <is>
          <t>all</t>
        </is>
      </c>
      <c r="H13" s="10" t="inlineStr">
        <is>
          <t>—</t>
        </is>
      </c>
      <c r="I13" s="10" t="inlineStr">
        <is>
          <t>— no source cited —</t>
        </is>
      </c>
      <c r="J13" s="11" t="n"/>
      <c r="K13" s="11" t="n"/>
      <c r="L13" s="11" t="n"/>
      <c r="M13" s="11" t="n"/>
      <c r="N13" s="11" t="n"/>
      <c r="O13" s="11" t="n"/>
      <c r="P13" s="11" t="n"/>
    </row>
    <row r="14">
      <c r="A14" s="10" t="inlineStr">
        <is>
          <t>Bihar</t>
        </is>
      </c>
      <c r="B14" s="10" t="n">
        <v>1000001</v>
      </c>
      <c r="C14" s="10" t="n">
        <v>99999999</v>
      </c>
      <c r="D14" s="10" t="n">
        <v>2500</v>
      </c>
      <c r="E14" s="10" t="inlineStr">
        <is>
          <t>yearly</t>
        </is>
      </c>
      <c r="F14" s="10" t="inlineStr">
        <is>
          <t>ALL</t>
        </is>
      </c>
      <c r="G14" s="10" t="inlineStr">
        <is>
          <t>all</t>
        </is>
      </c>
      <c r="H14" s="10" t="inlineStr">
        <is>
          <t>—</t>
        </is>
      </c>
      <c r="I14" s="10" t="inlineStr">
        <is>
          <t>— no source cited —</t>
        </is>
      </c>
      <c r="J14" s="11" t="n"/>
      <c r="K14" s="11" t="n"/>
      <c r="L14" s="11" t="n"/>
      <c r="M14" s="11" t="n"/>
      <c r="N14" s="11" t="n"/>
      <c r="O14" s="11" t="n"/>
      <c r="P14" s="11" t="n"/>
    </row>
    <row r="15">
      <c r="A15" s="10" t="inlineStr">
        <is>
          <t>Chhattisgarh</t>
        </is>
      </c>
      <c r="B15" s="10" t="n">
        <v>0</v>
      </c>
      <c r="C15" s="10" t="n">
        <v>15000</v>
      </c>
      <c r="D15" s="10" t="n">
        <v>0</v>
      </c>
      <c r="E15" s="10" t="inlineStr">
        <is>
          <t>monthly</t>
        </is>
      </c>
      <c r="F15" s="10" t="inlineStr">
        <is>
          <t>ALL</t>
        </is>
      </c>
      <c r="G15" s="10" t="inlineStr">
        <is>
          <t>all</t>
        </is>
      </c>
      <c r="H15" s="10" t="inlineStr">
        <is>
          <t>—</t>
        </is>
      </c>
      <c r="I15" s="10" t="inlineStr">
        <is>
          <t>— no source cited —</t>
        </is>
      </c>
      <c r="J15" s="11" t="n"/>
      <c r="K15" s="11" t="n"/>
      <c r="L15" s="11" t="n"/>
      <c r="M15" s="11" t="n"/>
      <c r="N15" s="11" t="n"/>
      <c r="O15" s="11" t="n"/>
      <c r="P15" s="11" t="n"/>
    </row>
    <row r="16">
      <c r="A16" s="10" t="inlineStr">
        <is>
          <t>Chhattisgarh</t>
        </is>
      </c>
      <c r="B16" s="10" t="n">
        <v>15001</v>
      </c>
      <c r="C16" s="10" t="n">
        <v>20000</v>
      </c>
      <c r="D16" s="10" t="n">
        <v>150</v>
      </c>
      <c r="E16" s="10" t="inlineStr">
        <is>
          <t>monthly</t>
        </is>
      </c>
      <c r="F16" s="10" t="inlineStr">
        <is>
          <t>ALL</t>
        </is>
      </c>
      <c r="G16" s="10" t="inlineStr">
        <is>
          <t>all</t>
        </is>
      </c>
      <c r="H16" s="10" t="inlineStr">
        <is>
          <t>—</t>
        </is>
      </c>
      <c r="I16" s="10" t="inlineStr">
        <is>
          <t>— no source cited —</t>
        </is>
      </c>
      <c r="J16" s="11" t="n"/>
      <c r="K16" s="11" t="n"/>
      <c r="L16" s="11" t="n"/>
      <c r="M16" s="11" t="n"/>
      <c r="N16" s="11" t="n"/>
      <c r="O16" s="11" t="n"/>
      <c r="P16" s="11" t="n"/>
    </row>
    <row r="17">
      <c r="A17" s="10" t="inlineStr">
        <is>
          <t>Chhattisgarh</t>
        </is>
      </c>
      <c r="B17" s="10" t="n">
        <v>20001</v>
      </c>
      <c r="C17" s="10" t="n">
        <v>99999999</v>
      </c>
      <c r="D17" s="10" t="n">
        <v>208</v>
      </c>
      <c r="E17" s="10" t="inlineStr">
        <is>
          <t>monthly</t>
        </is>
      </c>
      <c r="F17" s="10" t="inlineStr">
        <is>
          <t>ALL</t>
        </is>
      </c>
      <c r="G17" s="10" t="inlineStr">
        <is>
          <t>all</t>
        </is>
      </c>
      <c r="H17" s="10" t="inlineStr">
        <is>
          <t>—</t>
        </is>
      </c>
      <c r="I17" s="10" t="inlineStr">
        <is>
          <t>— no source cited —</t>
        </is>
      </c>
      <c r="J17" s="11" t="n"/>
      <c r="K17" s="11" t="n"/>
      <c r="L17" s="11" t="n"/>
      <c r="M17" s="11" t="n"/>
      <c r="N17" s="11" t="n"/>
      <c r="O17" s="11" t="n"/>
      <c r="P17" s="11" t="n"/>
    </row>
    <row r="18">
      <c r="A18" s="10" t="inlineStr">
        <is>
          <t>Gujarat</t>
        </is>
      </c>
      <c r="B18" s="10" t="n">
        <v>0</v>
      </c>
      <c r="C18" s="10" t="n">
        <v>12000</v>
      </c>
      <c r="D18" s="10" t="n">
        <v>0</v>
      </c>
      <c r="E18" s="10" t="inlineStr">
        <is>
          <t>monthly</t>
        </is>
      </c>
      <c r="F18" s="10" t="inlineStr">
        <is>
          <t>ALL</t>
        </is>
      </c>
      <c r="G18" s="10" t="inlineStr">
        <is>
          <t>all</t>
        </is>
      </c>
      <c r="H18" s="10" t="inlineStr">
        <is>
          <t>—</t>
        </is>
      </c>
      <c r="I18" s="10" t="inlineStr">
        <is>
          <t>— no source cited —</t>
        </is>
      </c>
      <c r="J18" s="11" t="n"/>
      <c r="K18" s="11" t="n"/>
      <c r="L18" s="11" t="n"/>
      <c r="M18" s="11" t="n"/>
      <c r="N18" s="11" t="n"/>
      <c r="O18" s="11" t="n"/>
      <c r="P18" s="11" t="n"/>
    </row>
    <row r="19">
      <c r="A19" s="10" t="inlineStr">
        <is>
          <t>Gujarat</t>
        </is>
      </c>
      <c r="B19" s="10" t="n">
        <v>12001</v>
      </c>
      <c r="C19" s="10" t="n">
        <v>99999999</v>
      </c>
      <c r="D19" s="10" t="n">
        <v>200</v>
      </c>
      <c r="E19" s="10" t="inlineStr">
        <is>
          <t>monthly</t>
        </is>
      </c>
      <c r="F19" s="10" t="inlineStr">
        <is>
          <t>ALL</t>
        </is>
      </c>
      <c r="G19" s="10" t="inlineStr">
        <is>
          <t>all</t>
        </is>
      </c>
      <c r="H19" s="10" t="inlineStr">
        <is>
          <t>—</t>
        </is>
      </c>
      <c r="I19" s="10" t="inlineStr">
        <is>
          <t>— no source cited —</t>
        </is>
      </c>
      <c r="J19" s="11" t="n"/>
      <c r="K19" s="11" t="n"/>
      <c r="L19" s="11" t="n"/>
      <c r="M19" s="11" t="n"/>
      <c r="N19" s="11" t="n"/>
      <c r="O19" s="11" t="n"/>
      <c r="P19" s="11" t="n"/>
    </row>
    <row r="20">
      <c r="A20" s="10" t="inlineStr">
        <is>
          <t>Jharkhand</t>
        </is>
      </c>
      <c r="B20" s="10" t="n">
        <v>0</v>
      </c>
      <c r="C20" s="10" t="n">
        <v>300000</v>
      </c>
      <c r="D20" s="10" t="n">
        <v>0</v>
      </c>
      <c r="E20" s="10" t="inlineStr">
        <is>
          <t>yearly</t>
        </is>
      </c>
      <c r="F20" s="10" t="inlineStr">
        <is>
          <t>ALL</t>
        </is>
      </c>
      <c r="G20" s="10" t="inlineStr">
        <is>
          <t>all</t>
        </is>
      </c>
      <c r="H20" s="10" t="inlineStr">
        <is>
          <t>—</t>
        </is>
      </c>
      <c r="I20" s="10" t="inlineStr">
        <is>
          <t>— no source cited —</t>
        </is>
      </c>
      <c r="J20" s="11" t="n"/>
      <c r="K20" s="11" t="n"/>
      <c r="L20" s="11" t="n"/>
      <c r="M20" s="11" t="n"/>
      <c r="N20" s="11" t="n"/>
      <c r="O20" s="11" t="n"/>
      <c r="P20" s="11" t="n"/>
    </row>
    <row r="21">
      <c r="A21" s="10" t="inlineStr">
        <is>
          <t>Jharkhand</t>
        </is>
      </c>
      <c r="B21" s="10" t="n">
        <v>300001</v>
      </c>
      <c r="C21" s="10" t="n">
        <v>500000</v>
      </c>
      <c r="D21" s="10" t="n">
        <v>1200</v>
      </c>
      <c r="E21" s="10" t="inlineStr">
        <is>
          <t>yearly</t>
        </is>
      </c>
      <c r="F21" s="10" t="inlineStr">
        <is>
          <t>ALL</t>
        </is>
      </c>
      <c r="G21" s="10" t="inlineStr">
        <is>
          <t>all</t>
        </is>
      </c>
      <c r="H21" s="10" t="inlineStr">
        <is>
          <t>—</t>
        </is>
      </c>
      <c r="I21" s="10" t="inlineStr">
        <is>
          <t>— no source cited —</t>
        </is>
      </c>
      <c r="J21" s="11" t="n"/>
      <c r="K21" s="11" t="n"/>
      <c r="L21" s="11" t="n"/>
      <c r="M21" s="11" t="n"/>
      <c r="N21" s="11" t="n"/>
      <c r="O21" s="11" t="n"/>
      <c r="P21" s="11" t="n"/>
    </row>
    <row r="22">
      <c r="A22" s="10" t="inlineStr">
        <is>
          <t>Jharkhand</t>
        </is>
      </c>
      <c r="B22" s="10" t="n">
        <v>500001</v>
      </c>
      <c r="C22" s="10" t="n">
        <v>800000</v>
      </c>
      <c r="D22" s="10" t="n">
        <v>1800</v>
      </c>
      <c r="E22" s="10" t="inlineStr">
        <is>
          <t>yearly</t>
        </is>
      </c>
      <c r="F22" s="10" t="inlineStr">
        <is>
          <t>ALL</t>
        </is>
      </c>
      <c r="G22" s="10" t="inlineStr">
        <is>
          <t>all</t>
        </is>
      </c>
      <c r="H22" s="10" t="inlineStr">
        <is>
          <t>—</t>
        </is>
      </c>
      <c r="I22" s="10" t="inlineStr">
        <is>
          <t>— no source cited —</t>
        </is>
      </c>
      <c r="J22" s="11" t="n"/>
      <c r="K22" s="11" t="n"/>
      <c r="L22" s="11" t="n"/>
      <c r="M22" s="11" t="n"/>
      <c r="N22" s="11" t="n"/>
      <c r="O22" s="11" t="n"/>
      <c r="P22" s="11" t="n"/>
    </row>
    <row r="23">
      <c r="A23" s="10" t="inlineStr">
        <is>
          <t>Jharkhand</t>
        </is>
      </c>
      <c r="B23" s="10" t="n">
        <v>800001</v>
      </c>
      <c r="C23" s="10" t="n">
        <v>1000000</v>
      </c>
      <c r="D23" s="10" t="n">
        <v>2100</v>
      </c>
      <c r="E23" s="10" t="inlineStr">
        <is>
          <t>yearly</t>
        </is>
      </c>
      <c r="F23" s="10" t="inlineStr">
        <is>
          <t>ALL</t>
        </is>
      </c>
      <c r="G23" s="10" t="inlineStr">
        <is>
          <t>all</t>
        </is>
      </c>
      <c r="H23" s="10" t="inlineStr">
        <is>
          <t>—</t>
        </is>
      </c>
      <c r="I23" s="10" t="inlineStr">
        <is>
          <t>— no source cited —</t>
        </is>
      </c>
      <c r="J23" s="11" t="n"/>
      <c r="K23" s="11" t="n"/>
      <c r="L23" s="11" t="n"/>
      <c r="M23" s="11" t="n"/>
      <c r="N23" s="11" t="n"/>
      <c r="O23" s="11" t="n"/>
      <c r="P23" s="11" t="n"/>
    </row>
    <row r="24">
      <c r="A24" s="10" t="inlineStr">
        <is>
          <t>Jharkhand</t>
        </is>
      </c>
      <c r="B24" s="10" t="n">
        <v>1000001</v>
      </c>
      <c r="C24" s="10" t="n">
        <v>99999999</v>
      </c>
      <c r="D24" s="10" t="n">
        <v>2500</v>
      </c>
      <c r="E24" s="10" t="inlineStr">
        <is>
          <t>yearly</t>
        </is>
      </c>
      <c r="F24" s="10" t="inlineStr">
        <is>
          <t>ALL</t>
        </is>
      </c>
      <c r="G24" s="10" t="inlineStr">
        <is>
          <t>all</t>
        </is>
      </c>
      <c r="H24" s="10" t="inlineStr">
        <is>
          <t>—</t>
        </is>
      </c>
      <c r="I24" s="10" t="inlineStr">
        <is>
          <t>— no source cited —</t>
        </is>
      </c>
      <c r="J24" s="11" t="n"/>
      <c r="K24" s="11" t="n"/>
      <c r="L24" s="11" t="n"/>
      <c r="M24" s="11" t="n"/>
      <c r="N24" s="11" t="n"/>
      <c r="O24" s="11" t="n"/>
      <c r="P24" s="11" t="n"/>
    </row>
    <row r="25">
      <c r="A25" s="10" t="inlineStr">
        <is>
          <t>Karnataka</t>
        </is>
      </c>
      <c r="B25" s="10" t="n">
        <v>0</v>
      </c>
      <c r="C25" s="10" t="n">
        <v>24999</v>
      </c>
      <c r="D25" s="10" t="n">
        <v>0</v>
      </c>
      <c r="E25" s="10" t="inlineStr">
        <is>
          <t>monthly</t>
        </is>
      </c>
      <c r="F25" s="10" t="inlineStr">
        <is>
          <t>ALL</t>
        </is>
      </c>
      <c r="G25" s="10" t="inlineStr">
        <is>
          <t>all</t>
        </is>
      </c>
      <c r="H25" s="10" t="inlineStr">
        <is>
          <t>—</t>
        </is>
      </c>
      <c r="I25" s="10" t="inlineStr">
        <is>
          <t>— no source cited —</t>
        </is>
      </c>
      <c r="J25" s="11" t="n"/>
      <c r="K25" s="11" t="n"/>
      <c r="L25" s="11" t="n"/>
      <c r="M25" s="11" t="n"/>
      <c r="N25" s="11" t="n"/>
      <c r="O25" s="11" t="n"/>
      <c r="P25" s="11" t="n"/>
    </row>
    <row r="26">
      <c r="A26" s="10" t="inlineStr">
        <is>
          <t>Karnataka</t>
        </is>
      </c>
      <c r="B26" s="10" t="n">
        <v>25000</v>
      </c>
      <c r="C26" s="10" t="n">
        <v>99999999</v>
      </c>
      <c r="D26" s="10" t="n">
        <v>200</v>
      </c>
      <c r="E26" s="10" t="inlineStr">
        <is>
          <t>monthly</t>
        </is>
      </c>
      <c r="F26" s="10" t="inlineStr">
        <is>
          <t>ALL</t>
        </is>
      </c>
      <c r="G26" s="10" t="inlineStr">
        <is>
          <t>all</t>
        </is>
      </c>
      <c r="H26" s="10" t="inlineStr">
        <is>
          <t>—</t>
        </is>
      </c>
      <c r="I26" s="10" t="inlineStr">
        <is>
          <t>— no source cited —</t>
        </is>
      </c>
      <c r="J26" s="11" t="n"/>
      <c r="K26" s="11" t="n"/>
      <c r="L26" s="11" t="n"/>
      <c r="M26" s="11" t="n"/>
      <c r="N26" s="11" t="n"/>
      <c r="O26" s="11" t="n"/>
      <c r="P26" s="11" t="n"/>
    </row>
    <row r="27">
      <c r="A27" s="10" t="inlineStr">
        <is>
          <t>Karnataka</t>
        </is>
      </c>
      <c r="B27" s="10" t="n">
        <v>25000</v>
      </c>
      <c r="C27" s="10" t="n">
        <v>99999999</v>
      </c>
      <c r="D27" s="10" t="n">
        <v>300</v>
      </c>
      <c r="E27" s="10" t="inlineStr">
        <is>
          <t>monthly</t>
        </is>
      </c>
      <c r="F27" s="10" t="inlineStr">
        <is>
          <t>ALL</t>
        </is>
      </c>
      <c r="G27" s="10" t="inlineStr">
        <is>
          <t>2</t>
        </is>
      </c>
      <c r="H27" s="10" t="inlineStr">
        <is>
          <t>—</t>
        </is>
      </c>
      <c r="I27" s="10" t="inlineStr">
        <is>
          <t>— no source cited —</t>
        </is>
      </c>
      <c r="J27" s="11" t="n"/>
      <c r="K27" s="11" t="n"/>
      <c r="L27" s="11" t="n"/>
      <c r="M27" s="11" t="n"/>
      <c r="N27" s="11" t="n"/>
      <c r="O27" s="11" t="n"/>
      <c r="P27" s="11" t="n"/>
    </row>
    <row r="28">
      <c r="A28" s="10" t="inlineStr">
        <is>
          <t>Kerala</t>
        </is>
      </c>
      <c r="B28" s="10" t="n">
        <v>0</v>
      </c>
      <c r="C28" s="10" t="n">
        <v>11999</v>
      </c>
      <c r="D28" s="10" t="n">
        <v>0</v>
      </c>
      <c r="E28" s="10" t="inlineStr">
        <is>
          <t>half-yearly</t>
        </is>
      </c>
      <c r="F28" s="10" t="inlineStr">
        <is>
          <t>ALL</t>
        </is>
      </c>
      <c r="G28" s="10" t="inlineStr">
        <is>
          <t>all</t>
        </is>
      </c>
      <c r="H28" s="10" t="inlineStr">
        <is>
          <t>—</t>
        </is>
      </c>
      <c r="I28" s="10" t="inlineStr">
        <is>
          <t>— no source cited —</t>
        </is>
      </c>
      <c r="J28" s="11" t="n"/>
      <c r="K28" s="11" t="n"/>
      <c r="L28" s="11" t="n"/>
      <c r="M28" s="11" t="n"/>
      <c r="N28" s="11" t="n"/>
      <c r="O28" s="11" t="n"/>
      <c r="P28" s="11" t="n"/>
    </row>
    <row r="29">
      <c r="A29" s="10" t="inlineStr">
        <is>
          <t>Kerala</t>
        </is>
      </c>
      <c r="B29" s="10" t="n">
        <v>12000</v>
      </c>
      <c r="C29" s="10" t="n">
        <v>17999</v>
      </c>
      <c r="D29" s="10" t="n">
        <v>320</v>
      </c>
      <c r="E29" s="10" t="inlineStr">
        <is>
          <t>half-yearly</t>
        </is>
      </c>
      <c r="F29" s="10" t="inlineStr">
        <is>
          <t>ALL</t>
        </is>
      </c>
      <c r="G29" s="10" t="inlineStr">
        <is>
          <t>all</t>
        </is>
      </c>
      <c r="H29" s="10" t="inlineStr">
        <is>
          <t>—</t>
        </is>
      </c>
      <c r="I29" s="10" t="inlineStr">
        <is>
          <t>— no source cited —</t>
        </is>
      </c>
      <c r="J29" s="11" t="n"/>
      <c r="K29" s="11" t="n"/>
      <c r="L29" s="11" t="n"/>
      <c r="M29" s="11" t="n"/>
      <c r="N29" s="11" t="n"/>
      <c r="O29" s="11" t="n"/>
      <c r="P29" s="11" t="n"/>
    </row>
    <row r="30">
      <c r="A30" s="10" t="inlineStr">
        <is>
          <t>Kerala</t>
        </is>
      </c>
      <c r="B30" s="10" t="n">
        <v>18000</v>
      </c>
      <c r="C30" s="10" t="n">
        <v>29999</v>
      </c>
      <c r="D30" s="10" t="n">
        <v>450</v>
      </c>
      <c r="E30" s="10" t="inlineStr">
        <is>
          <t>half-yearly</t>
        </is>
      </c>
      <c r="F30" s="10" t="inlineStr">
        <is>
          <t>ALL</t>
        </is>
      </c>
      <c r="G30" s="10" t="inlineStr">
        <is>
          <t>all</t>
        </is>
      </c>
      <c r="H30" s="10" t="inlineStr">
        <is>
          <t>—</t>
        </is>
      </c>
      <c r="I30" s="10" t="inlineStr">
        <is>
          <t>— no source cited —</t>
        </is>
      </c>
      <c r="J30" s="11" t="n"/>
      <c r="K30" s="11" t="n"/>
      <c r="L30" s="11" t="n"/>
      <c r="M30" s="11" t="n"/>
      <c r="N30" s="11" t="n"/>
      <c r="O30" s="11" t="n"/>
      <c r="P30" s="11" t="n"/>
    </row>
    <row r="31">
      <c r="A31" s="10" t="inlineStr">
        <is>
          <t>Kerala</t>
        </is>
      </c>
      <c r="B31" s="10" t="n">
        <v>30000</v>
      </c>
      <c r="C31" s="10" t="n">
        <v>44999</v>
      </c>
      <c r="D31" s="10" t="n">
        <v>600</v>
      </c>
      <c r="E31" s="10" t="inlineStr">
        <is>
          <t>half-yearly</t>
        </is>
      </c>
      <c r="F31" s="10" t="inlineStr">
        <is>
          <t>ALL</t>
        </is>
      </c>
      <c r="G31" s="10" t="inlineStr">
        <is>
          <t>all</t>
        </is>
      </c>
      <c r="H31" s="10" t="inlineStr">
        <is>
          <t>—</t>
        </is>
      </c>
      <c r="I31" s="10" t="inlineStr">
        <is>
          <t>— no source cited —</t>
        </is>
      </c>
      <c r="J31" s="11" t="n"/>
      <c r="K31" s="11" t="n"/>
      <c r="L31" s="11" t="n"/>
      <c r="M31" s="11" t="n"/>
      <c r="N31" s="11" t="n"/>
      <c r="O31" s="11" t="n"/>
      <c r="P31" s="11" t="n"/>
    </row>
    <row r="32">
      <c r="A32" s="10" t="inlineStr">
        <is>
          <t>Kerala</t>
        </is>
      </c>
      <c r="B32" s="10" t="n">
        <v>45000</v>
      </c>
      <c r="C32" s="10" t="n">
        <v>99999</v>
      </c>
      <c r="D32" s="10" t="n">
        <v>750</v>
      </c>
      <c r="E32" s="10" t="inlineStr">
        <is>
          <t>half-yearly</t>
        </is>
      </c>
      <c r="F32" s="10" t="inlineStr">
        <is>
          <t>ALL</t>
        </is>
      </c>
      <c r="G32" s="10" t="inlineStr">
        <is>
          <t>all</t>
        </is>
      </c>
      <c r="H32" s="10" t="inlineStr">
        <is>
          <t>—</t>
        </is>
      </c>
      <c r="I32" s="10" t="inlineStr">
        <is>
          <t>— no source cited —</t>
        </is>
      </c>
      <c r="J32" s="11" t="n"/>
      <c r="K32" s="11" t="n"/>
      <c r="L32" s="11" t="n"/>
      <c r="M32" s="11" t="n"/>
      <c r="N32" s="11" t="n"/>
      <c r="O32" s="11" t="n"/>
      <c r="P32" s="11" t="n"/>
    </row>
    <row r="33">
      <c r="A33" s="10" t="inlineStr">
        <is>
          <t>Kerala</t>
        </is>
      </c>
      <c r="B33" s="10" t="n">
        <v>100000</v>
      </c>
      <c r="C33" s="10" t="n">
        <v>124999</v>
      </c>
      <c r="D33" s="10" t="n">
        <v>1000</v>
      </c>
      <c r="E33" s="10" t="inlineStr">
        <is>
          <t>half-yearly</t>
        </is>
      </c>
      <c r="F33" s="10" t="inlineStr">
        <is>
          <t>ALL</t>
        </is>
      </c>
      <c r="G33" s="10" t="inlineStr">
        <is>
          <t>all</t>
        </is>
      </c>
      <c r="H33" s="10" t="inlineStr">
        <is>
          <t>—</t>
        </is>
      </c>
      <c r="I33" s="10" t="inlineStr">
        <is>
          <t>— no source cited —</t>
        </is>
      </c>
      <c r="J33" s="11" t="n"/>
      <c r="K33" s="11" t="n"/>
      <c r="L33" s="11" t="n"/>
      <c r="M33" s="11" t="n"/>
      <c r="N33" s="11" t="n"/>
      <c r="O33" s="11" t="n"/>
      <c r="P33" s="11" t="n"/>
    </row>
    <row r="34">
      <c r="A34" s="10" t="inlineStr">
        <is>
          <t>Kerala</t>
        </is>
      </c>
      <c r="B34" s="10" t="n">
        <v>125000</v>
      </c>
      <c r="C34" s="10" t="n">
        <v>99999999</v>
      </c>
      <c r="D34" s="10" t="n">
        <v>1250</v>
      </c>
      <c r="E34" s="10" t="inlineStr">
        <is>
          <t>half-yearly</t>
        </is>
      </c>
      <c r="F34" s="10" t="inlineStr">
        <is>
          <t>ALL</t>
        </is>
      </c>
      <c r="G34" s="10" t="inlineStr">
        <is>
          <t>all</t>
        </is>
      </c>
      <c r="H34" s="10" t="inlineStr">
        <is>
          <t>—</t>
        </is>
      </c>
      <c r="I34" s="10" t="inlineStr">
        <is>
          <t>— no source cited —</t>
        </is>
      </c>
      <c r="J34" s="11" t="n"/>
      <c r="K34" s="11" t="n"/>
      <c r="L34" s="11" t="n"/>
      <c r="M34" s="11" t="n"/>
      <c r="N34" s="11" t="n"/>
      <c r="O34" s="11" t="n"/>
      <c r="P34" s="11" t="n"/>
    </row>
    <row r="35">
      <c r="A35" s="10" t="inlineStr">
        <is>
          <t>Madhya Pradesh</t>
        </is>
      </c>
      <c r="B35" s="10" t="n">
        <v>0</v>
      </c>
      <c r="C35" s="10" t="n">
        <v>225000</v>
      </c>
      <c r="D35" s="10" t="n">
        <v>0</v>
      </c>
      <c r="E35" s="10" t="inlineStr">
        <is>
          <t>yearly</t>
        </is>
      </c>
      <c r="F35" s="10" t="inlineStr">
        <is>
          <t>ALL</t>
        </is>
      </c>
      <c r="G35" s="10" t="inlineStr">
        <is>
          <t>all</t>
        </is>
      </c>
      <c r="H35" s="10" t="inlineStr">
        <is>
          <t>—</t>
        </is>
      </c>
      <c r="I35" s="10" t="inlineStr">
        <is>
          <t>— no source cited —</t>
        </is>
      </c>
      <c r="J35" s="11" t="n"/>
      <c r="K35" s="11" t="n"/>
      <c r="L35" s="11" t="n"/>
      <c r="M35" s="11" t="n"/>
      <c r="N35" s="11" t="n"/>
      <c r="O35" s="11" t="n"/>
      <c r="P35" s="11" t="n"/>
    </row>
    <row r="36">
      <c r="A36" s="10" t="inlineStr">
        <is>
          <t>Madhya Pradesh</t>
        </is>
      </c>
      <c r="B36" s="10" t="n">
        <v>225001</v>
      </c>
      <c r="C36" s="10" t="n">
        <v>300000</v>
      </c>
      <c r="D36" s="10" t="n">
        <v>1500</v>
      </c>
      <c r="E36" s="10" t="inlineStr">
        <is>
          <t>yearly</t>
        </is>
      </c>
      <c r="F36" s="10" t="inlineStr">
        <is>
          <t>ALL</t>
        </is>
      </c>
      <c r="G36" s="10" t="inlineStr">
        <is>
          <t>all</t>
        </is>
      </c>
      <c r="H36" s="10" t="inlineStr">
        <is>
          <t>—</t>
        </is>
      </c>
      <c r="I36" s="10" t="inlineStr">
        <is>
          <t>— no source cited —</t>
        </is>
      </c>
      <c r="J36" s="11" t="n"/>
      <c r="K36" s="11" t="n"/>
      <c r="L36" s="11" t="n"/>
      <c r="M36" s="11" t="n"/>
      <c r="N36" s="11" t="n"/>
      <c r="O36" s="11" t="n"/>
      <c r="P36" s="11" t="n"/>
    </row>
    <row r="37">
      <c r="A37" s="10" t="inlineStr">
        <is>
          <t>Madhya Pradesh</t>
        </is>
      </c>
      <c r="B37" s="10" t="n">
        <v>300001</v>
      </c>
      <c r="C37" s="10" t="n">
        <v>400000</v>
      </c>
      <c r="D37" s="10" t="n">
        <v>2000</v>
      </c>
      <c r="E37" s="10" t="inlineStr">
        <is>
          <t>yearly</t>
        </is>
      </c>
      <c r="F37" s="10" t="inlineStr">
        <is>
          <t>ALL</t>
        </is>
      </c>
      <c r="G37" s="10" t="inlineStr">
        <is>
          <t>all</t>
        </is>
      </c>
      <c r="H37" s="10" t="inlineStr">
        <is>
          <t>—</t>
        </is>
      </c>
      <c r="I37" s="10" t="inlineStr">
        <is>
          <t>— no source cited —</t>
        </is>
      </c>
      <c r="J37" s="11" t="n"/>
      <c r="K37" s="11" t="n"/>
      <c r="L37" s="11" t="n"/>
      <c r="M37" s="11" t="n"/>
      <c r="N37" s="11" t="n"/>
      <c r="O37" s="11" t="n"/>
      <c r="P37" s="11" t="n"/>
    </row>
    <row r="38">
      <c r="A38" s="10" t="inlineStr">
        <is>
          <t>Madhya Pradesh</t>
        </is>
      </c>
      <c r="B38" s="10" t="n">
        <v>400001</v>
      </c>
      <c r="C38" s="10" t="n">
        <v>99999999</v>
      </c>
      <c r="D38" s="10" t="n">
        <v>2500</v>
      </c>
      <c r="E38" s="10" t="inlineStr">
        <is>
          <t>yearly</t>
        </is>
      </c>
      <c r="F38" s="10" t="inlineStr">
        <is>
          <t>ALL</t>
        </is>
      </c>
      <c r="G38" s="10" t="inlineStr">
        <is>
          <t>all</t>
        </is>
      </c>
      <c r="H38" s="10" t="inlineStr">
        <is>
          <t>—</t>
        </is>
      </c>
      <c r="I38" s="10" t="inlineStr">
        <is>
          <t>— no source cited —</t>
        </is>
      </c>
      <c r="J38" s="11" t="n"/>
      <c r="K38" s="11" t="n"/>
      <c r="L38" s="11" t="n"/>
      <c r="M38" s="11" t="n"/>
      <c r="N38" s="11" t="n"/>
      <c r="O38" s="11" t="n"/>
      <c r="P38" s="11" t="n"/>
    </row>
    <row r="39">
      <c r="A39" s="10" t="inlineStr">
        <is>
          <t>Maharashtra</t>
        </is>
      </c>
      <c r="B39" s="10" t="n">
        <v>0</v>
      </c>
      <c r="C39" s="10" t="n">
        <v>7500</v>
      </c>
      <c r="D39" s="10" t="n">
        <v>0</v>
      </c>
      <c r="E39" s="10" t="inlineStr">
        <is>
          <t>monthly</t>
        </is>
      </c>
      <c r="F39" s="10" t="inlineStr">
        <is>
          <t>MALE</t>
        </is>
      </c>
      <c r="G39" s="10" t="inlineStr">
        <is>
          <t>all</t>
        </is>
      </c>
      <c r="H39" s="10" t="inlineStr">
        <is>
          <t>—</t>
        </is>
      </c>
      <c r="I39" s="10" t="inlineStr">
        <is>
          <t>— no source cited —</t>
        </is>
      </c>
      <c r="J39" s="11" t="n"/>
      <c r="K39" s="11" t="n"/>
      <c r="L39" s="11" t="n"/>
      <c r="M39" s="11" t="n"/>
      <c r="N39" s="11" t="n"/>
      <c r="O39" s="11" t="n"/>
      <c r="P39" s="11" t="n"/>
    </row>
    <row r="40">
      <c r="A40" s="10" t="inlineStr">
        <is>
          <t>Maharashtra</t>
        </is>
      </c>
      <c r="B40" s="10" t="n">
        <v>7501</v>
      </c>
      <c r="C40" s="10" t="n">
        <v>10000</v>
      </c>
      <c r="D40" s="10" t="n">
        <v>175</v>
      </c>
      <c r="E40" s="10" t="inlineStr">
        <is>
          <t>monthly</t>
        </is>
      </c>
      <c r="F40" s="10" t="inlineStr">
        <is>
          <t>MALE</t>
        </is>
      </c>
      <c r="G40" s="10" t="inlineStr">
        <is>
          <t>all</t>
        </is>
      </c>
      <c r="H40" s="10" t="inlineStr">
        <is>
          <t>—</t>
        </is>
      </c>
      <c r="I40" s="10" t="inlineStr">
        <is>
          <t>— no source cited —</t>
        </is>
      </c>
      <c r="J40" s="11" t="n"/>
      <c r="K40" s="11" t="n"/>
      <c r="L40" s="11" t="n"/>
      <c r="M40" s="11" t="n"/>
      <c r="N40" s="11" t="n"/>
      <c r="O40" s="11" t="n"/>
      <c r="P40" s="11" t="n"/>
    </row>
    <row r="41">
      <c r="A41" s="10" t="inlineStr">
        <is>
          <t>Maharashtra</t>
        </is>
      </c>
      <c r="B41" s="10" t="n">
        <v>10001</v>
      </c>
      <c r="C41" s="10" t="n">
        <v>99999999</v>
      </c>
      <c r="D41" s="10" t="n">
        <v>200</v>
      </c>
      <c r="E41" s="10" t="inlineStr">
        <is>
          <t>monthly</t>
        </is>
      </c>
      <c r="F41" s="10" t="inlineStr">
        <is>
          <t>MALE</t>
        </is>
      </c>
      <c r="G41" s="10" t="inlineStr">
        <is>
          <t>all</t>
        </is>
      </c>
      <c r="H41" s="10" t="inlineStr">
        <is>
          <t>—</t>
        </is>
      </c>
      <c r="I41" s="10" t="inlineStr">
        <is>
          <t>— no source cited —</t>
        </is>
      </c>
      <c r="J41" s="11" t="n"/>
      <c r="K41" s="11" t="n"/>
      <c r="L41" s="11" t="n"/>
      <c r="M41" s="11" t="n"/>
      <c r="N41" s="11" t="n"/>
      <c r="O41" s="11" t="n"/>
      <c r="P41" s="11" t="n"/>
    </row>
    <row r="42">
      <c r="A42" s="10" t="inlineStr">
        <is>
          <t>Maharashtra</t>
        </is>
      </c>
      <c r="B42" s="10" t="n">
        <v>10001</v>
      </c>
      <c r="C42" s="10" t="n">
        <v>99999999</v>
      </c>
      <c r="D42" s="10" t="n">
        <v>300</v>
      </c>
      <c r="E42" s="10" t="inlineStr">
        <is>
          <t>monthly</t>
        </is>
      </c>
      <c r="F42" s="10" t="inlineStr">
        <is>
          <t>MALE</t>
        </is>
      </c>
      <c r="G42" s="10" t="inlineStr">
        <is>
          <t>2</t>
        </is>
      </c>
      <c r="H42" s="10" t="inlineStr">
        <is>
          <t>—</t>
        </is>
      </c>
      <c r="I42" s="10" t="inlineStr">
        <is>
          <t>— no source cited —</t>
        </is>
      </c>
      <c r="J42" s="11" t="n"/>
      <c r="K42" s="11" t="n"/>
      <c r="L42" s="11" t="n"/>
      <c r="M42" s="11" t="n"/>
      <c r="N42" s="11" t="n"/>
      <c r="O42" s="11" t="n"/>
      <c r="P42" s="11" t="n"/>
    </row>
    <row r="43">
      <c r="A43" s="10" t="inlineStr">
        <is>
          <t>Maharashtra</t>
        </is>
      </c>
      <c r="B43" s="10" t="n">
        <v>0</v>
      </c>
      <c r="C43" s="10" t="n">
        <v>25000</v>
      </c>
      <c r="D43" s="10" t="n">
        <v>0</v>
      </c>
      <c r="E43" s="10" t="inlineStr">
        <is>
          <t>monthly</t>
        </is>
      </c>
      <c r="F43" s="10" t="inlineStr">
        <is>
          <t>FEMALE</t>
        </is>
      </c>
      <c r="G43" s="10" t="inlineStr">
        <is>
          <t>all</t>
        </is>
      </c>
      <c r="H43" s="10" t="inlineStr">
        <is>
          <t>—</t>
        </is>
      </c>
      <c r="I43" s="10" t="inlineStr">
        <is>
          <t>— no source cited —</t>
        </is>
      </c>
      <c r="J43" s="11" t="n"/>
      <c r="K43" s="11" t="n"/>
      <c r="L43" s="11" t="n"/>
      <c r="M43" s="11" t="n"/>
      <c r="N43" s="11" t="n"/>
      <c r="O43" s="11" t="n"/>
      <c r="P43" s="11" t="n"/>
    </row>
    <row r="44">
      <c r="A44" s="10" t="inlineStr">
        <is>
          <t>Maharashtra</t>
        </is>
      </c>
      <c r="B44" s="10" t="n">
        <v>25001</v>
      </c>
      <c r="C44" s="10" t="n">
        <v>99999999</v>
      </c>
      <c r="D44" s="10" t="n">
        <v>200</v>
      </c>
      <c r="E44" s="10" t="inlineStr">
        <is>
          <t>monthly</t>
        </is>
      </c>
      <c r="F44" s="10" t="inlineStr">
        <is>
          <t>FEMALE</t>
        </is>
      </c>
      <c r="G44" s="10" t="inlineStr">
        <is>
          <t>all</t>
        </is>
      </c>
      <c r="H44" s="10" t="inlineStr">
        <is>
          <t>—</t>
        </is>
      </c>
      <c r="I44" s="10" t="inlineStr">
        <is>
          <t>— no source cited —</t>
        </is>
      </c>
      <c r="J44" s="11" t="n"/>
      <c r="K44" s="11" t="n"/>
      <c r="L44" s="11" t="n"/>
      <c r="M44" s="11" t="n"/>
      <c r="N44" s="11" t="n"/>
      <c r="O44" s="11" t="n"/>
      <c r="P44" s="11" t="n"/>
    </row>
    <row r="45">
      <c r="A45" s="10" t="inlineStr">
        <is>
          <t>Maharashtra</t>
        </is>
      </c>
      <c r="B45" s="10" t="n">
        <v>25001</v>
      </c>
      <c r="C45" s="10" t="n">
        <v>99999999</v>
      </c>
      <c r="D45" s="10" t="n">
        <v>300</v>
      </c>
      <c r="E45" s="10" t="inlineStr">
        <is>
          <t>monthly</t>
        </is>
      </c>
      <c r="F45" s="10" t="inlineStr">
        <is>
          <t>FEMALE</t>
        </is>
      </c>
      <c r="G45" s="10" t="inlineStr">
        <is>
          <t>2</t>
        </is>
      </c>
      <c r="H45" s="10" t="inlineStr">
        <is>
          <t>—</t>
        </is>
      </c>
      <c r="I45" s="10" t="inlineStr">
        <is>
          <t>— no source cited —</t>
        </is>
      </c>
      <c r="J45" s="11" t="n"/>
      <c r="K45" s="11" t="n"/>
      <c r="L45" s="11" t="n"/>
      <c r="M45" s="11" t="n"/>
      <c r="N45" s="11" t="n"/>
      <c r="O45" s="11" t="n"/>
      <c r="P45" s="11" t="n"/>
    </row>
    <row r="46">
      <c r="A46" s="10" t="inlineStr">
        <is>
          <t>Manipur</t>
        </is>
      </c>
      <c r="B46" s="10" t="n">
        <v>0</v>
      </c>
      <c r="C46" s="10" t="n">
        <v>50000</v>
      </c>
      <c r="D46" s="10" t="n">
        <v>0</v>
      </c>
      <c r="E46" s="10" t="inlineStr">
        <is>
          <t>yearly</t>
        </is>
      </c>
      <c r="F46" s="10" t="inlineStr">
        <is>
          <t>ALL</t>
        </is>
      </c>
      <c r="G46" s="10" t="inlineStr">
        <is>
          <t>all</t>
        </is>
      </c>
      <c r="H46" s="10" t="inlineStr">
        <is>
          <t>—</t>
        </is>
      </c>
      <c r="I46" s="10" t="inlineStr">
        <is>
          <t>— no source cited —</t>
        </is>
      </c>
      <c r="J46" s="11" t="n"/>
      <c r="K46" s="11" t="n"/>
      <c r="L46" s="11" t="n"/>
      <c r="M46" s="11" t="n"/>
      <c r="N46" s="11" t="n"/>
      <c r="O46" s="11" t="n"/>
      <c r="P46" s="11" t="n"/>
    </row>
    <row r="47">
      <c r="A47" s="10" t="inlineStr">
        <is>
          <t>Manipur</t>
        </is>
      </c>
      <c r="B47" s="10" t="n">
        <v>50001</v>
      </c>
      <c r="C47" s="10" t="n">
        <v>75000</v>
      </c>
      <c r="D47" s="10" t="n">
        <v>1200</v>
      </c>
      <c r="E47" s="10" t="inlineStr">
        <is>
          <t>yearly</t>
        </is>
      </c>
      <c r="F47" s="10" t="inlineStr">
        <is>
          <t>ALL</t>
        </is>
      </c>
      <c r="G47" s="10" t="inlineStr">
        <is>
          <t>all</t>
        </is>
      </c>
      <c r="H47" s="10" t="inlineStr">
        <is>
          <t>—</t>
        </is>
      </c>
      <c r="I47" s="10" t="inlineStr">
        <is>
          <t>— no source cited —</t>
        </is>
      </c>
      <c r="J47" s="11" t="n"/>
      <c r="K47" s="11" t="n"/>
      <c r="L47" s="11" t="n"/>
      <c r="M47" s="11" t="n"/>
      <c r="N47" s="11" t="n"/>
      <c r="O47" s="11" t="n"/>
      <c r="P47" s="11" t="n"/>
    </row>
    <row r="48">
      <c r="A48" s="10" t="inlineStr">
        <is>
          <t>Manipur</t>
        </is>
      </c>
      <c r="B48" s="10" t="n">
        <v>75001</v>
      </c>
      <c r="C48" s="10" t="n">
        <v>100000</v>
      </c>
      <c r="D48" s="10" t="n">
        <v>2000</v>
      </c>
      <c r="E48" s="10" t="inlineStr">
        <is>
          <t>yearly</t>
        </is>
      </c>
      <c r="F48" s="10" t="inlineStr">
        <is>
          <t>ALL</t>
        </is>
      </c>
      <c r="G48" s="10" t="inlineStr">
        <is>
          <t>all</t>
        </is>
      </c>
      <c r="H48" s="10" t="inlineStr">
        <is>
          <t>—</t>
        </is>
      </c>
      <c r="I48" s="10" t="inlineStr">
        <is>
          <t>— no source cited —</t>
        </is>
      </c>
      <c r="J48" s="11" t="n"/>
      <c r="K48" s="11" t="n"/>
      <c r="L48" s="11" t="n"/>
      <c r="M48" s="11" t="n"/>
      <c r="N48" s="11" t="n"/>
      <c r="O48" s="11" t="n"/>
      <c r="P48" s="11" t="n"/>
    </row>
    <row r="49">
      <c r="A49" s="10" t="inlineStr">
        <is>
          <t>Manipur</t>
        </is>
      </c>
      <c r="B49" s="10" t="n">
        <v>100001</v>
      </c>
      <c r="C49" s="10" t="n">
        <v>125000</v>
      </c>
      <c r="D49" s="10" t="n">
        <v>2400</v>
      </c>
      <c r="E49" s="10" t="inlineStr">
        <is>
          <t>yearly</t>
        </is>
      </c>
      <c r="F49" s="10" t="inlineStr">
        <is>
          <t>ALL</t>
        </is>
      </c>
      <c r="G49" s="10" t="inlineStr">
        <is>
          <t>all</t>
        </is>
      </c>
      <c r="H49" s="10" t="inlineStr">
        <is>
          <t>—</t>
        </is>
      </c>
      <c r="I49" s="10" t="inlineStr">
        <is>
          <t>— no source cited —</t>
        </is>
      </c>
      <c r="J49" s="11" t="n"/>
      <c r="K49" s="11" t="n"/>
      <c r="L49" s="11" t="n"/>
      <c r="M49" s="11" t="n"/>
      <c r="N49" s="11" t="n"/>
      <c r="O49" s="11" t="n"/>
      <c r="P49" s="11" t="n"/>
    </row>
    <row r="50">
      <c r="A50" s="10" t="inlineStr">
        <is>
          <t>Manipur</t>
        </is>
      </c>
      <c r="B50" s="10" t="n">
        <v>125001</v>
      </c>
      <c r="C50" s="10" t="n">
        <v>99999999</v>
      </c>
      <c r="D50" s="10" t="n">
        <v>2500</v>
      </c>
      <c r="E50" s="10" t="inlineStr">
        <is>
          <t>yearly</t>
        </is>
      </c>
      <c r="F50" s="10" t="inlineStr">
        <is>
          <t>ALL</t>
        </is>
      </c>
      <c r="G50" s="10" t="inlineStr">
        <is>
          <t>all</t>
        </is>
      </c>
      <c r="H50" s="10" t="inlineStr">
        <is>
          <t>—</t>
        </is>
      </c>
      <c r="I50" s="10" t="inlineStr">
        <is>
          <t>— no source cited —</t>
        </is>
      </c>
      <c r="J50" s="11" t="n"/>
      <c r="K50" s="11" t="n"/>
      <c r="L50" s="11" t="n"/>
      <c r="M50" s="11" t="n"/>
      <c r="N50" s="11" t="n"/>
      <c r="O50" s="11" t="n"/>
      <c r="P50" s="11" t="n"/>
    </row>
    <row r="51">
      <c r="A51" s="10" t="inlineStr">
        <is>
          <t>Meghalaya</t>
        </is>
      </c>
      <c r="B51" s="10" t="n">
        <v>0</v>
      </c>
      <c r="C51" s="10" t="n">
        <v>50000</v>
      </c>
      <c r="D51" s="10" t="n">
        <v>0</v>
      </c>
      <c r="E51" s="10" t="inlineStr">
        <is>
          <t>yearly</t>
        </is>
      </c>
      <c r="F51" s="10" t="inlineStr">
        <is>
          <t>ALL</t>
        </is>
      </c>
      <c r="G51" s="10" t="inlineStr">
        <is>
          <t>all</t>
        </is>
      </c>
      <c r="H51" s="10" t="inlineStr">
        <is>
          <t>—</t>
        </is>
      </c>
      <c r="I51" s="10" t="inlineStr">
        <is>
          <t>— no source cited —</t>
        </is>
      </c>
      <c r="J51" s="11" t="n"/>
      <c r="K51" s="11" t="n"/>
      <c r="L51" s="11" t="n"/>
      <c r="M51" s="11" t="n"/>
      <c r="N51" s="11" t="n"/>
      <c r="O51" s="11" t="n"/>
      <c r="P51" s="11" t="n"/>
    </row>
    <row r="52">
      <c r="A52" s="10" t="inlineStr">
        <is>
          <t>Meghalaya</t>
        </is>
      </c>
      <c r="B52" s="10" t="n">
        <v>50001</v>
      </c>
      <c r="C52" s="10" t="n">
        <v>75000</v>
      </c>
      <c r="D52" s="10" t="n">
        <v>200</v>
      </c>
      <c r="E52" s="10" t="inlineStr">
        <is>
          <t>yearly</t>
        </is>
      </c>
      <c r="F52" s="10" t="inlineStr">
        <is>
          <t>ALL</t>
        </is>
      </c>
      <c r="G52" s="10" t="inlineStr">
        <is>
          <t>all</t>
        </is>
      </c>
      <c r="H52" s="10" t="inlineStr">
        <is>
          <t>—</t>
        </is>
      </c>
      <c r="I52" s="10" t="inlineStr">
        <is>
          <t>— no source cited —</t>
        </is>
      </c>
      <c r="J52" s="11" t="n"/>
      <c r="K52" s="11" t="n"/>
      <c r="L52" s="11" t="n"/>
      <c r="M52" s="11" t="n"/>
      <c r="N52" s="11" t="n"/>
      <c r="O52" s="11" t="n"/>
      <c r="P52" s="11" t="n"/>
    </row>
    <row r="53">
      <c r="A53" s="10" t="inlineStr">
        <is>
          <t>Meghalaya</t>
        </is>
      </c>
      <c r="B53" s="10" t="n">
        <v>75001</v>
      </c>
      <c r="C53" s="10" t="n">
        <v>100000</v>
      </c>
      <c r="D53" s="10" t="n">
        <v>300</v>
      </c>
      <c r="E53" s="10" t="inlineStr">
        <is>
          <t>yearly</t>
        </is>
      </c>
      <c r="F53" s="10" t="inlineStr">
        <is>
          <t>ALL</t>
        </is>
      </c>
      <c r="G53" s="10" t="inlineStr">
        <is>
          <t>all</t>
        </is>
      </c>
      <c r="H53" s="10" t="inlineStr">
        <is>
          <t>—</t>
        </is>
      </c>
      <c r="I53" s="10" t="inlineStr">
        <is>
          <t>— no source cited —</t>
        </is>
      </c>
      <c r="J53" s="11" t="n"/>
      <c r="K53" s="11" t="n"/>
      <c r="L53" s="11" t="n"/>
      <c r="M53" s="11" t="n"/>
      <c r="N53" s="11" t="n"/>
      <c r="O53" s="11" t="n"/>
      <c r="P53" s="11" t="n"/>
    </row>
    <row r="54">
      <c r="A54" s="10" t="inlineStr">
        <is>
          <t>Meghalaya</t>
        </is>
      </c>
      <c r="B54" s="10" t="n">
        <v>100001</v>
      </c>
      <c r="C54" s="10" t="n">
        <v>150000</v>
      </c>
      <c r="D54" s="10" t="n">
        <v>500</v>
      </c>
      <c r="E54" s="10" t="inlineStr">
        <is>
          <t>yearly</t>
        </is>
      </c>
      <c r="F54" s="10" t="inlineStr">
        <is>
          <t>ALL</t>
        </is>
      </c>
      <c r="G54" s="10" t="inlineStr">
        <is>
          <t>all</t>
        </is>
      </c>
      <c r="H54" s="10" t="inlineStr">
        <is>
          <t>—</t>
        </is>
      </c>
      <c r="I54" s="10" t="inlineStr">
        <is>
          <t>— no source cited —</t>
        </is>
      </c>
      <c r="J54" s="11" t="n"/>
      <c r="K54" s="11" t="n"/>
      <c r="L54" s="11" t="n"/>
      <c r="M54" s="11" t="n"/>
      <c r="N54" s="11" t="n"/>
      <c r="O54" s="11" t="n"/>
      <c r="P54" s="11" t="n"/>
    </row>
    <row r="55">
      <c r="A55" s="10" t="inlineStr">
        <is>
          <t>Meghalaya</t>
        </is>
      </c>
      <c r="B55" s="10" t="n">
        <v>150001</v>
      </c>
      <c r="C55" s="10" t="n">
        <v>200000</v>
      </c>
      <c r="D55" s="10" t="n">
        <v>750</v>
      </c>
      <c r="E55" s="10" t="inlineStr">
        <is>
          <t>yearly</t>
        </is>
      </c>
      <c r="F55" s="10" t="inlineStr">
        <is>
          <t>ALL</t>
        </is>
      </c>
      <c r="G55" s="10" t="inlineStr">
        <is>
          <t>all</t>
        </is>
      </c>
      <c r="H55" s="10" t="inlineStr">
        <is>
          <t>—</t>
        </is>
      </c>
      <c r="I55" s="10" t="inlineStr">
        <is>
          <t>— no source cited —</t>
        </is>
      </c>
      <c r="J55" s="11" t="n"/>
      <c r="K55" s="11" t="n"/>
      <c r="L55" s="11" t="n"/>
      <c r="M55" s="11" t="n"/>
      <c r="N55" s="11" t="n"/>
      <c r="O55" s="11" t="n"/>
      <c r="P55" s="11" t="n"/>
    </row>
    <row r="56">
      <c r="A56" s="10" t="inlineStr">
        <is>
          <t>Meghalaya</t>
        </is>
      </c>
      <c r="B56" s="10" t="n">
        <v>200001</v>
      </c>
      <c r="C56" s="10" t="n">
        <v>250000</v>
      </c>
      <c r="D56" s="10" t="n">
        <v>1000</v>
      </c>
      <c r="E56" s="10" t="inlineStr">
        <is>
          <t>yearly</t>
        </is>
      </c>
      <c r="F56" s="10" t="inlineStr">
        <is>
          <t>ALL</t>
        </is>
      </c>
      <c r="G56" s="10" t="inlineStr">
        <is>
          <t>all</t>
        </is>
      </c>
      <c r="H56" s="10" t="inlineStr">
        <is>
          <t>—</t>
        </is>
      </c>
      <c r="I56" s="10" t="inlineStr">
        <is>
          <t>— no source cited —</t>
        </is>
      </c>
      <c r="J56" s="11" t="n"/>
      <c r="K56" s="11" t="n"/>
      <c r="L56" s="11" t="n"/>
      <c r="M56" s="11" t="n"/>
      <c r="N56" s="11" t="n"/>
      <c r="O56" s="11" t="n"/>
      <c r="P56" s="11" t="n"/>
    </row>
    <row r="57">
      <c r="A57" s="10" t="inlineStr">
        <is>
          <t>Meghalaya</t>
        </is>
      </c>
      <c r="B57" s="10" t="n">
        <v>250001</v>
      </c>
      <c r="C57" s="10" t="n">
        <v>300000</v>
      </c>
      <c r="D57" s="10" t="n">
        <v>1250</v>
      </c>
      <c r="E57" s="10" t="inlineStr">
        <is>
          <t>yearly</t>
        </is>
      </c>
      <c r="F57" s="10" t="inlineStr">
        <is>
          <t>ALL</t>
        </is>
      </c>
      <c r="G57" s="10" t="inlineStr">
        <is>
          <t>all</t>
        </is>
      </c>
      <c r="H57" s="10" t="inlineStr">
        <is>
          <t>—</t>
        </is>
      </c>
      <c r="I57" s="10" t="inlineStr">
        <is>
          <t>— no source cited —</t>
        </is>
      </c>
      <c r="J57" s="11" t="n"/>
      <c r="K57" s="11" t="n"/>
      <c r="L57" s="11" t="n"/>
      <c r="M57" s="11" t="n"/>
      <c r="N57" s="11" t="n"/>
      <c r="O57" s="11" t="n"/>
      <c r="P57" s="11" t="n"/>
    </row>
    <row r="58">
      <c r="A58" s="10" t="inlineStr">
        <is>
          <t>Meghalaya</t>
        </is>
      </c>
      <c r="B58" s="10" t="n">
        <v>300001</v>
      </c>
      <c r="C58" s="10" t="n">
        <v>350000</v>
      </c>
      <c r="D58" s="10" t="n">
        <v>1500</v>
      </c>
      <c r="E58" s="10" t="inlineStr">
        <is>
          <t>yearly</t>
        </is>
      </c>
      <c r="F58" s="10" t="inlineStr">
        <is>
          <t>ALL</t>
        </is>
      </c>
      <c r="G58" s="10" t="inlineStr">
        <is>
          <t>all</t>
        </is>
      </c>
      <c r="H58" s="10" t="inlineStr">
        <is>
          <t>—</t>
        </is>
      </c>
      <c r="I58" s="10" t="inlineStr">
        <is>
          <t>— no source cited —</t>
        </is>
      </c>
      <c r="J58" s="11" t="n"/>
      <c r="K58" s="11" t="n"/>
      <c r="L58" s="11" t="n"/>
      <c r="M58" s="11" t="n"/>
      <c r="N58" s="11" t="n"/>
      <c r="O58" s="11" t="n"/>
      <c r="P58" s="11" t="n"/>
    </row>
    <row r="59">
      <c r="A59" s="10" t="inlineStr">
        <is>
          <t>Meghalaya</t>
        </is>
      </c>
      <c r="B59" s="10" t="n">
        <v>350001</v>
      </c>
      <c r="C59" s="10" t="n">
        <v>400000</v>
      </c>
      <c r="D59" s="10" t="n">
        <v>1800</v>
      </c>
      <c r="E59" s="10" t="inlineStr">
        <is>
          <t>yearly</t>
        </is>
      </c>
      <c r="F59" s="10" t="inlineStr">
        <is>
          <t>ALL</t>
        </is>
      </c>
      <c r="G59" s="10" t="inlineStr">
        <is>
          <t>all</t>
        </is>
      </c>
      <c r="H59" s="10" t="inlineStr">
        <is>
          <t>—</t>
        </is>
      </c>
      <c r="I59" s="10" t="inlineStr">
        <is>
          <t>— no source cited —</t>
        </is>
      </c>
      <c r="J59" s="11" t="n"/>
      <c r="K59" s="11" t="n"/>
      <c r="L59" s="11" t="n"/>
      <c r="M59" s="11" t="n"/>
      <c r="N59" s="11" t="n"/>
      <c r="O59" s="11" t="n"/>
      <c r="P59" s="11" t="n"/>
    </row>
    <row r="60">
      <c r="A60" s="10" t="inlineStr">
        <is>
          <t>Meghalaya</t>
        </is>
      </c>
      <c r="B60" s="10" t="n">
        <v>400001</v>
      </c>
      <c r="C60" s="10" t="n">
        <v>450000</v>
      </c>
      <c r="D60" s="10" t="n">
        <v>2100</v>
      </c>
      <c r="E60" s="10" t="inlineStr">
        <is>
          <t>yearly</t>
        </is>
      </c>
      <c r="F60" s="10" t="inlineStr">
        <is>
          <t>ALL</t>
        </is>
      </c>
      <c r="G60" s="10" t="inlineStr">
        <is>
          <t>all</t>
        </is>
      </c>
      <c r="H60" s="10" t="inlineStr">
        <is>
          <t>—</t>
        </is>
      </c>
      <c r="I60" s="10" t="inlineStr">
        <is>
          <t>— no source cited —</t>
        </is>
      </c>
      <c r="J60" s="11" t="n"/>
      <c r="K60" s="11" t="n"/>
      <c r="L60" s="11" t="n"/>
      <c r="M60" s="11" t="n"/>
      <c r="N60" s="11" t="n"/>
      <c r="O60" s="11" t="n"/>
      <c r="P60" s="11" t="n"/>
    </row>
    <row r="61">
      <c r="A61" s="10" t="inlineStr">
        <is>
          <t>Meghalaya</t>
        </is>
      </c>
      <c r="B61" s="10" t="n">
        <v>450001</v>
      </c>
      <c r="C61" s="10" t="n">
        <v>500000</v>
      </c>
      <c r="D61" s="10" t="n">
        <v>2400</v>
      </c>
      <c r="E61" s="10" t="inlineStr">
        <is>
          <t>yearly</t>
        </is>
      </c>
      <c r="F61" s="10" t="inlineStr">
        <is>
          <t>ALL</t>
        </is>
      </c>
      <c r="G61" s="10" t="inlineStr">
        <is>
          <t>all</t>
        </is>
      </c>
      <c r="H61" s="10" t="inlineStr">
        <is>
          <t>—</t>
        </is>
      </c>
      <c r="I61" s="10" t="inlineStr">
        <is>
          <t>— no source cited —</t>
        </is>
      </c>
      <c r="J61" s="11" t="n"/>
      <c r="K61" s="11" t="n"/>
      <c r="L61" s="11" t="n"/>
      <c r="M61" s="11" t="n"/>
      <c r="N61" s="11" t="n"/>
      <c r="O61" s="11" t="n"/>
      <c r="P61" s="11" t="n"/>
    </row>
    <row r="62">
      <c r="A62" s="10" t="inlineStr">
        <is>
          <t>Meghalaya</t>
        </is>
      </c>
      <c r="B62" s="10" t="n">
        <v>500001</v>
      </c>
      <c r="C62" s="10" t="n">
        <v>99999999</v>
      </c>
      <c r="D62" s="10" t="n">
        <v>2500</v>
      </c>
      <c r="E62" s="10" t="inlineStr">
        <is>
          <t>yearly</t>
        </is>
      </c>
      <c r="F62" s="10" t="inlineStr">
        <is>
          <t>ALL</t>
        </is>
      </c>
      <c r="G62" s="10" t="inlineStr">
        <is>
          <t>all</t>
        </is>
      </c>
      <c r="H62" s="10" t="inlineStr">
        <is>
          <t>—</t>
        </is>
      </c>
      <c r="I62" s="10" t="inlineStr">
        <is>
          <t>— no source cited —</t>
        </is>
      </c>
      <c r="J62" s="11" t="n"/>
      <c r="K62" s="11" t="n"/>
      <c r="L62" s="11" t="n"/>
      <c r="M62" s="11" t="n"/>
      <c r="N62" s="11" t="n"/>
      <c r="O62" s="11" t="n"/>
      <c r="P62" s="11" t="n"/>
    </row>
    <row r="63">
      <c r="A63" s="10" t="inlineStr">
        <is>
          <t>Mizoram</t>
        </is>
      </c>
      <c r="B63" s="10" t="n">
        <v>1</v>
      </c>
      <c r="C63" s="10" t="n">
        <v>5000</v>
      </c>
      <c r="D63" s="10" t="n">
        <v>0</v>
      </c>
      <c r="E63" s="10" t="inlineStr">
        <is>
          <t>monthly</t>
        </is>
      </c>
      <c r="F63" s="10" t="inlineStr">
        <is>
          <t>ALL</t>
        </is>
      </c>
      <c r="G63" s="10" t="inlineStr">
        <is>
          <t>all</t>
        </is>
      </c>
      <c r="H63" s="10" t="inlineStr">
        <is>
          <t>—</t>
        </is>
      </c>
      <c r="I63" s="10" t="inlineStr">
        <is>
          <t>— no source cited —</t>
        </is>
      </c>
      <c r="J63" s="11" t="n"/>
      <c r="K63" s="11" t="n"/>
      <c r="L63" s="11" t="n"/>
      <c r="M63" s="11" t="n"/>
      <c r="N63" s="11" t="n"/>
      <c r="O63" s="11" t="n"/>
      <c r="P63" s="11" t="n"/>
    </row>
    <row r="64">
      <c r="A64" s="10" t="inlineStr">
        <is>
          <t>Mizoram</t>
        </is>
      </c>
      <c r="B64" s="10" t="n">
        <v>5001</v>
      </c>
      <c r="C64" s="10" t="n">
        <v>8000</v>
      </c>
      <c r="D64" s="10" t="n">
        <v>75</v>
      </c>
      <c r="E64" s="10" t="inlineStr">
        <is>
          <t>monthly</t>
        </is>
      </c>
      <c r="F64" s="10" t="inlineStr">
        <is>
          <t>ALL</t>
        </is>
      </c>
      <c r="G64" s="10" t="inlineStr">
        <is>
          <t>all</t>
        </is>
      </c>
      <c r="H64" s="10" t="inlineStr">
        <is>
          <t>—</t>
        </is>
      </c>
      <c r="I64" s="10" t="inlineStr">
        <is>
          <t>— no source cited —</t>
        </is>
      </c>
      <c r="J64" s="11" t="n"/>
      <c r="K64" s="11" t="n"/>
      <c r="L64" s="11" t="n"/>
      <c r="M64" s="11" t="n"/>
      <c r="N64" s="11" t="n"/>
      <c r="O64" s="11" t="n"/>
      <c r="P64" s="11" t="n"/>
    </row>
    <row r="65">
      <c r="A65" s="10" t="inlineStr">
        <is>
          <t>Mizoram</t>
        </is>
      </c>
      <c r="B65" s="10" t="n">
        <v>8001</v>
      </c>
      <c r="C65" s="10" t="n">
        <v>10000</v>
      </c>
      <c r="D65" s="10" t="n">
        <v>120</v>
      </c>
      <c r="E65" s="10" t="inlineStr">
        <is>
          <t>monthly</t>
        </is>
      </c>
      <c r="F65" s="10" t="inlineStr">
        <is>
          <t>ALL</t>
        </is>
      </c>
      <c r="G65" s="10" t="inlineStr">
        <is>
          <t>all</t>
        </is>
      </c>
      <c r="H65" s="10" t="inlineStr">
        <is>
          <t>—</t>
        </is>
      </c>
      <c r="I65" s="10" t="inlineStr">
        <is>
          <t>— no source cited —</t>
        </is>
      </c>
      <c r="J65" s="11" t="n"/>
      <c r="K65" s="11" t="n"/>
      <c r="L65" s="11" t="n"/>
      <c r="M65" s="11" t="n"/>
      <c r="N65" s="11" t="n"/>
      <c r="O65" s="11" t="n"/>
      <c r="P65" s="11" t="n"/>
    </row>
    <row r="66">
      <c r="A66" s="10" t="inlineStr">
        <is>
          <t>Mizoram</t>
        </is>
      </c>
      <c r="B66" s="10" t="n">
        <v>10001</v>
      </c>
      <c r="C66" s="10" t="n">
        <v>12000</v>
      </c>
      <c r="D66" s="10" t="n">
        <v>150</v>
      </c>
      <c r="E66" s="10" t="inlineStr">
        <is>
          <t>monthly</t>
        </is>
      </c>
      <c r="F66" s="10" t="inlineStr">
        <is>
          <t>ALL</t>
        </is>
      </c>
      <c r="G66" s="10" t="inlineStr">
        <is>
          <t>all</t>
        </is>
      </c>
      <c r="H66" s="10" t="inlineStr">
        <is>
          <t>—</t>
        </is>
      </c>
      <c r="I66" s="10" t="inlineStr">
        <is>
          <t>— no source cited —</t>
        </is>
      </c>
      <c r="J66" s="11" t="n"/>
      <c r="K66" s="11" t="n"/>
      <c r="L66" s="11" t="n"/>
      <c r="M66" s="11" t="n"/>
      <c r="N66" s="11" t="n"/>
      <c r="O66" s="11" t="n"/>
      <c r="P66" s="11" t="n"/>
    </row>
    <row r="67">
      <c r="A67" s="10" t="inlineStr">
        <is>
          <t>Mizoram</t>
        </is>
      </c>
      <c r="B67" s="10" t="n">
        <v>12001</v>
      </c>
      <c r="C67" s="10" t="n">
        <v>15000</v>
      </c>
      <c r="D67" s="10" t="n">
        <v>180</v>
      </c>
      <c r="E67" s="10" t="inlineStr">
        <is>
          <t>monthly</t>
        </is>
      </c>
      <c r="F67" s="10" t="inlineStr">
        <is>
          <t>ALL</t>
        </is>
      </c>
      <c r="G67" s="10" t="inlineStr">
        <is>
          <t>all</t>
        </is>
      </c>
      <c r="H67" s="10" t="inlineStr">
        <is>
          <t>—</t>
        </is>
      </c>
      <c r="I67" s="10" t="inlineStr">
        <is>
          <t>— no source cited —</t>
        </is>
      </c>
      <c r="J67" s="11" t="n"/>
      <c r="K67" s="11" t="n"/>
      <c r="L67" s="11" t="n"/>
      <c r="M67" s="11" t="n"/>
      <c r="N67" s="11" t="n"/>
      <c r="O67" s="11" t="n"/>
      <c r="P67" s="11" t="n"/>
    </row>
    <row r="68">
      <c r="A68" s="10" t="inlineStr">
        <is>
          <t>Mizoram</t>
        </is>
      </c>
      <c r="B68" s="10" t="n">
        <v>15001</v>
      </c>
      <c r="C68" s="10" t="n">
        <v>20000</v>
      </c>
      <c r="D68" s="10" t="n">
        <v>195</v>
      </c>
      <c r="E68" s="10" t="inlineStr">
        <is>
          <t>monthly</t>
        </is>
      </c>
      <c r="F68" s="10" t="inlineStr">
        <is>
          <t>ALL</t>
        </is>
      </c>
      <c r="G68" s="10" t="inlineStr">
        <is>
          <t>all</t>
        </is>
      </c>
      <c r="H68" s="10" t="inlineStr">
        <is>
          <t>—</t>
        </is>
      </c>
      <c r="I68" s="10" t="inlineStr">
        <is>
          <t>— no source cited —</t>
        </is>
      </c>
      <c r="J68" s="11" t="n"/>
      <c r="K68" s="11" t="n"/>
      <c r="L68" s="11" t="n"/>
      <c r="M68" s="11" t="n"/>
      <c r="N68" s="11" t="n"/>
      <c r="O68" s="11" t="n"/>
      <c r="P68" s="11" t="n"/>
    </row>
    <row r="69">
      <c r="A69" s="10" t="inlineStr">
        <is>
          <t>Mizoram</t>
        </is>
      </c>
      <c r="B69" s="10" t="n">
        <v>20001</v>
      </c>
      <c r="C69" s="10" t="n">
        <v>99999999</v>
      </c>
      <c r="D69" s="10" t="n">
        <v>208</v>
      </c>
      <c r="E69" s="10" t="inlineStr">
        <is>
          <t>monthly</t>
        </is>
      </c>
      <c r="F69" s="10" t="inlineStr">
        <is>
          <t>ALL</t>
        </is>
      </c>
      <c r="G69" s="10" t="inlineStr">
        <is>
          <t>all</t>
        </is>
      </c>
      <c r="H69" s="10" t="inlineStr">
        <is>
          <t>—</t>
        </is>
      </c>
      <c r="I69" s="10" t="inlineStr">
        <is>
          <t>— no source cited —</t>
        </is>
      </c>
      <c r="J69" s="11" t="n"/>
      <c r="K69" s="11" t="n"/>
      <c r="L69" s="11" t="n"/>
      <c r="M69" s="11" t="n"/>
      <c r="N69" s="11" t="n"/>
      <c r="O69" s="11" t="n"/>
      <c r="P69" s="11" t="n"/>
    </row>
    <row r="70">
      <c r="A70" s="10" t="inlineStr">
        <is>
          <t>Nagaland</t>
        </is>
      </c>
      <c r="B70" s="10" t="n">
        <v>0</v>
      </c>
      <c r="C70" s="10" t="n">
        <v>4000</v>
      </c>
      <c r="D70" s="10" t="n">
        <v>0</v>
      </c>
      <c r="E70" s="10" t="inlineStr">
        <is>
          <t>monthly</t>
        </is>
      </c>
      <c r="F70" s="10" t="inlineStr">
        <is>
          <t>ALL</t>
        </is>
      </c>
      <c r="G70" s="10" t="inlineStr">
        <is>
          <t>all</t>
        </is>
      </c>
      <c r="H70" s="10" t="inlineStr">
        <is>
          <t>—</t>
        </is>
      </c>
      <c r="I70" s="10" t="inlineStr">
        <is>
          <t>— no source cited —</t>
        </is>
      </c>
      <c r="J70" s="11" t="n"/>
      <c r="K70" s="11" t="n"/>
      <c r="L70" s="11" t="n"/>
      <c r="M70" s="11" t="n"/>
      <c r="N70" s="11" t="n"/>
      <c r="O70" s="11" t="n"/>
      <c r="P70" s="11" t="n"/>
    </row>
    <row r="71">
      <c r="A71" s="10" t="inlineStr">
        <is>
          <t>Nagaland</t>
        </is>
      </c>
      <c r="B71" s="10" t="n">
        <v>4001</v>
      </c>
      <c r="C71" s="10" t="n">
        <v>5000</v>
      </c>
      <c r="D71" s="10" t="n">
        <v>35</v>
      </c>
      <c r="E71" s="10" t="inlineStr">
        <is>
          <t>monthly</t>
        </is>
      </c>
      <c r="F71" s="10" t="inlineStr">
        <is>
          <t>ALL</t>
        </is>
      </c>
      <c r="G71" s="10" t="inlineStr">
        <is>
          <t>all</t>
        </is>
      </c>
      <c r="H71" s="10" t="inlineStr">
        <is>
          <t>—</t>
        </is>
      </c>
      <c r="I71" s="10" t="inlineStr">
        <is>
          <t>— no source cited —</t>
        </is>
      </c>
      <c r="J71" s="11" t="n"/>
      <c r="K71" s="11" t="n"/>
      <c r="L71" s="11" t="n"/>
      <c r="M71" s="11" t="n"/>
      <c r="N71" s="11" t="n"/>
      <c r="O71" s="11" t="n"/>
      <c r="P71" s="11" t="n"/>
    </row>
    <row r="72">
      <c r="A72" s="10" t="inlineStr">
        <is>
          <t>Nagaland</t>
        </is>
      </c>
      <c r="B72" s="10" t="n">
        <v>5001</v>
      </c>
      <c r="C72" s="10" t="n">
        <v>7000</v>
      </c>
      <c r="D72" s="10" t="n">
        <v>75</v>
      </c>
      <c r="E72" s="10" t="inlineStr">
        <is>
          <t>monthly</t>
        </is>
      </c>
      <c r="F72" s="10" t="inlineStr">
        <is>
          <t>ALL</t>
        </is>
      </c>
      <c r="G72" s="10" t="inlineStr">
        <is>
          <t>all</t>
        </is>
      </c>
      <c r="H72" s="10" t="inlineStr">
        <is>
          <t>—</t>
        </is>
      </c>
      <c r="I72" s="10" t="inlineStr">
        <is>
          <t>— no source cited —</t>
        </is>
      </c>
      <c r="J72" s="11" t="n"/>
      <c r="K72" s="11" t="n"/>
      <c r="L72" s="11" t="n"/>
      <c r="M72" s="11" t="n"/>
      <c r="N72" s="11" t="n"/>
      <c r="O72" s="11" t="n"/>
      <c r="P72" s="11" t="n"/>
    </row>
    <row r="73">
      <c r="A73" s="10" t="inlineStr">
        <is>
          <t>Nagaland</t>
        </is>
      </c>
      <c r="B73" s="10" t="n">
        <v>7001</v>
      </c>
      <c r="C73" s="10" t="n">
        <v>9000</v>
      </c>
      <c r="D73" s="10" t="n">
        <v>110</v>
      </c>
      <c r="E73" s="10" t="inlineStr">
        <is>
          <t>monthly</t>
        </is>
      </c>
      <c r="F73" s="10" t="inlineStr">
        <is>
          <t>ALL</t>
        </is>
      </c>
      <c r="G73" s="10" t="inlineStr">
        <is>
          <t>all</t>
        </is>
      </c>
      <c r="H73" s="10" t="inlineStr">
        <is>
          <t>—</t>
        </is>
      </c>
      <c r="I73" s="10" t="inlineStr">
        <is>
          <t>— no source cited —</t>
        </is>
      </c>
      <c r="J73" s="11" t="n"/>
      <c r="K73" s="11" t="n"/>
      <c r="L73" s="11" t="n"/>
      <c r="M73" s="11" t="n"/>
      <c r="N73" s="11" t="n"/>
      <c r="O73" s="11" t="n"/>
      <c r="P73" s="11" t="n"/>
    </row>
    <row r="74">
      <c r="A74" s="10" t="inlineStr">
        <is>
          <t>Nagaland</t>
        </is>
      </c>
      <c r="B74" s="10" t="n">
        <v>9001</v>
      </c>
      <c r="C74" s="10" t="n">
        <v>12000</v>
      </c>
      <c r="D74" s="10" t="n">
        <v>180</v>
      </c>
      <c r="E74" s="10" t="inlineStr">
        <is>
          <t>monthly</t>
        </is>
      </c>
      <c r="F74" s="10" t="inlineStr">
        <is>
          <t>ALL</t>
        </is>
      </c>
      <c r="G74" s="10" t="inlineStr">
        <is>
          <t>all</t>
        </is>
      </c>
      <c r="H74" s="10" t="inlineStr">
        <is>
          <t>—</t>
        </is>
      </c>
      <c r="I74" s="10" t="inlineStr">
        <is>
          <t>— no source cited —</t>
        </is>
      </c>
      <c r="J74" s="11" t="n"/>
      <c r="K74" s="11" t="n"/>
      <c r="L74" s="11" t="n"/>
      <c r="M74" s="11" t="n"/>
      <c r="N74" s="11" t="n"/>
      <c r="O74" s="11" t="n"/>
      <c r="P74" s="11" t="n"/>
    </row>
    <row r="75">
      <c r="A75" s="10" t="inlineStr">
        <is>
          <t>Nagaland</t>
        </is>
      </c>
      <c r="B75" s="10" t="n">
        <v>12001</v>
      </c>
      <c r="C75" s="10" t="n">
        <v>99999999</v>
      </c>
      <c r="D75" s="10" t="n">
        <v>208</v>
      </c>
      <c r="E75" s="10" t="inlineStr">
        <is>
          <t>monthly</t>
        </is>
      </c>
      <c r="F75" s="10" t="inlineStr">
        <is>
          <t>ALL</t>
        </is>
      </c>
      <c r="G75" s="10" t="inlineStr">
        <is>
          <t>all</t>
        </is>
      </c>
      <c r="H75" s="10" t="inlineStr">
        <is>
          <t>—</t>
        </is>
      </c>
      <c r="I75" s="10" t="inlineStr">
        <is>
          <t>— no source cited —</t>
        </is>
      </c>
      <c r="J75" s="11" t="n"/>
      <c r="K75" s="11" t="n"/>
      <c r="L75" s="11" t="n"/>
      <c r="M75" s="11" t="n"/>
      <c r="N75" s="11" t="n"/>
      <c r="O75" s="11" t="n"/>
      <c r="P75" s="11" t="n"/>
    </row>
    <row r="76">
      <c r="A76" s="10" t="inlineStr">
        <is>
          <t>Odisha</t>
        </is>
      </c>
      <c r="B76" s="10" t="n">
        <v>0</v>
      </c>
      <c r="C76" s="10" t="n">
        <v>160000</v>
      </c>
      <c r="D76" s="10" t="n">
        <v>0</v>
      </c>
      <c r="E76" s="10" t="inlineStr">
        <is>
          <t>yearly</t>
        </is>
      </c>
      <c r="F76" s="10" t="inlineStr">
        <is>
          <t>ALL</t>
        </is>
      </c>
      <c r="G76" s="10" t="inlineStr">
        <is>
          <t>all</t>
        </is>
      </c>
      <c r="H76" s="10" t="inlineStr">
        <is>
          <t>—</t>
        </is>
      </c>
      <c r="I76" s="10" t="inlineStr">
        <is>
          <t>— no source cited —</t>
        </is>
      </c>
      <c r="J76" s="11" t="n"/>
      <c r="K76" s="11" t="n"/>
      <c r="L76" s="11" t="n"/>
      <c r="M76" s="11" t="n"/>
      <c r="N76" s="11" t="n"/>
      <c r="O76" s="11" t="n"/>
      <c r="P76" s="11" t="n"/>
    </row>
    <row r="77">
      <c r="A77" s="10" t="inlineStr">
        <is>
          <t>Odisha</t>
        </is>
      </c>
      <c r="B77" s="10" t="n">
        <v>160001</v>
      </c>
      <c r="C77" s="10" t="n">
        <v>300000</v>
      </c>
      <c r="D77" s="10" t="n">
        <v>1500</v>
      </c>
      <c r="E77" s="10" t="inlineStr">
        <is>
          <t>yearly</t>
        </is>
      </c>
      <c r="F77" s="10" t="inlineStr">
        <is>
          <t>ALL</t>
        </is>
      </c>
      <c r="G77" s="10" t="inlineStr">
        <is>
          <t>all</t>
        </is>
      </c>
      <c r="H77" s="10" t="inlineStr">
        <is>
          <t>—</t>
        </is>
      </c>
      <c r="I77" s="10" t="inlineStr">
        <is>
          <t>— no source cited —</t>
        </is>
      </c>
      <c r="J77" s="11" t="n"/>
      <c r="K77" s="11" t="n"/>
      <c r="L77" s="11" t="n"/>
      <c r="M77" s="11" t="n"/>
      <c r="N77" s="11" t="n"/>
      <c r="O77" s="11" t="n"/>
      <c r="P77" s="11" t="n"/>
    </row>
    <row r="78">
      <c r="A78" s="10" t="inlineStr">
        <is>
          <t>Odisha</t>
        </is>
      </c>
      <c r="B78" s="10" t="n">
        <v>300001</v>
      </c>
      <c r="C78" s="10" t="n">
        <v>99999999</v>
      </c>
      <c r="D78" s="10" t="n">
        <v>2400</v>
      </c>
      <c r="E78" s="10" t="inlineStr">
        <is>
          <t>yearly</t>
        </is>
      </c>
      <c r="F78" s="10" t="inlineStr">
        <is>
          <t>ALL</t>
        </is>
      </c>
      <c r="G78" s="10" t="inlineStr">
        <is>
          <t>all</t>
        </is>
      </c>
      <c r="H78" s="10" t="inlineStr">
        <is>
          <t>—</t>
        </is>
      </c>
      <c r="I78" s="10" t="inlineStr">
        <is>
          <t>— no source cited —</t>
        </is>
      </c>
      <c r="J78" s="11" t="n"/>
      <c r="K78" s="11" t="n"/>
      <c r="L78" s="11" t="n"/>
      <c r="M78" s="11" t="n"/>
      <c r="N78" s="11" t="n"/>
      <c r="O78" s="11" t="n"/>
      <c r="P78" s="11" t="n"/>
    </row>
    <row r="79">
      <c r="A79" s="10" t="inlineStr">
        <is>
          <t>Odisha</t>
        </is>
      </c>
      <c r="B79" s="10" t="n">
        <v>300001</v>
      </c>
      <c r="C79" s="10" t="n">
        <v>99999999</v>
      </c>
      <c r="D79" s="10" t="n">
        <v>3600</v>
      </c>
      <c r="E79" s="10" t="inlineStr">
        <is>
          <t>yearly</t>
        </is>
      </c>
      <c r="F79" s="10" t="inlineStr">
        <is>
          <t>ALL</t>
        </is>
      </c>
      <c r="G79" s="10" t="inlineStr">
        <is>
          <t>3</t>
        </is>
      </c>
      <c r="H79" s="10" t="inlineStr">
        <is>
          <t>—</t>
        </is>
      </c>
      <c r="I79" s="10" t="inlineStr">
        <is>
          <t>— no source cited —</t>
        </is>
      </c>
      <c r="J79" s="11" t="n"/>
      <c r="K79" s="11" t="n"/>
      <c r="L79" s="11" t="n"/>
      <c r="M79" s="11" t="n"/>
      <c r="N79" s="11" t="n"/>
      <c r="O79" s="11" t="n"/>
      <c r="P79" s="11" t="n"/>
    </row>
    <row r="80">
      <c r="A80" s="10" t="inlineStr">
        <is>
          <t>Puducherry</t>
        </is>
      </c>
      <c r="B80" s="10" t="n">
        <v>0</v>
      </c>
      <c r="C80" s="10" t="n">
        <v>99999</v>
      </c>
      <c r="D80" s="10" t="n">
        <v>0</v>
      </c>
      <c r="E80" s="10" t="inlineStr">
        <is>
          <t>half-yearly</t>
        </is>
      </c>
      <c r="F80" s="10" t="inlineStr">
        <is>
          <t>ALL</t>
        </is>
      </c>
      <c r="G80" s="10" t="inlineStr">
        <is>
          <t>all</t>
        </is>
      </c>
      <c r="H80" s="10" t="inlineStr">
        <is>
          <t>—</t>
        </is>
      </c>
      <c r="I80" s="10" t="inlineStr">
        <is>
          <t>— no source cited —</t>
        </is>
      </c>
      <c r="J80" s="11" t="n"/>
      <c r="K80" s="11" t="n"/>
      <c r="L80" s="11" t="n"/>
      <c r="M80" s="11" t="n"/>
      <c r="N80" s="11" t="n"/>
      <c r="O80" s="11" t="n"/>
      <c r="P80" s="11" t="n"/>
    </row>
    <row r="81">
      <c r="A81" s="10" t="inlineStr">
        <is>
          <t>Puducherry</t>
        </is>
      </c>
      <c r="B81" s="10" t="n">
        <v>100000</v>
      </c>
      <c r="C81" s="10" t="n">
        <v>200000</v>
      </c>
      <c r="D81" s="10" t="n">
        <v>250</v>
      </c>
      <c r="E81" s="10" t="inlineStr">
        <is>
          <t>half-yearly</t>
        </is>
      </c>
      <c r="F81" s="10" t="inlineStr">
        <is>
          <t>ALL</t>
        </is>
      </c>
      <c r="G81" s="10" t="inlineStr">
        <is>
          <t>all</t>
        </is>
      </c>
      <c r="H81" s="10" t="inlineStr">
        <is>
          <t>—</t>
        </is>
      </c>
      <c r="I81" s="10" t="inlineStr">
        <is>
          <t>— no source cited —</t>
        </is>
      </c>
      <c r="J81" s="11" t="n"/>
      <c r="K81" s="11" t="n"/>
      <c r="L81" s="11" t="n"/>
      <c r="M81" s="11" t="n"/>
      <c r="N81" s="11" t="n"/>
      <c r="O81" s="11" t="n"/>
      <c r="P81" s="11" t="n"/>
    </row>
    <row r="82">
      <c r="A82" s="10" t="inlineStr">
        <is>
          <t>Puducherry</t>
        </is>
      </c>
      <c r="B82" s="10" t="n">
        <v>200001</v>
      </c>
      <c r="C82" s="10" t="n">
        <v>300000</v>
      </c>
      <c r="D82" s="10" t="n">
        <v>500</v>
      </c>
      <c r="E82" s="10" t="inlineStr">
        <is>
          <t>half-yearly</t>
        </is>
      </c>
      <c r="F82" s="10" t="inlineStr">
        <is>
          <t>ALL</t>
        </is>
      </c>
      <c r="G82" s="10" t="inlineStr">
        <is>
          <t>all</t>
        </is>
      </c>
      <c r="H82" s="10" t="inlineStr">
        <is>
          <t>—</t>
        </is>
      </c>
      <c r="I82" s="10" t="inlineStr">
        <is>
          <t>— no source cited —</t>
        </is>
      </c>
      <c r="J82" s="11" t="n"/>
      <c r="K82" s="11" t="n"/>
      <c r="L82" s="11" t="n"/>
      <c r="M82" s="11" t="n"/>
      <c r="N82" s="11" t="n"/>
      <c r="O82" s="11" t="n"/>
      <c r="P82" s="11" t="n"/>
    </row>
    <row r="83">
      <c r="A83" s="10" t="inlineStr">
        <is>
          <t>Puducherry</t>
        </is>
      </c>
      <c r="B83" s="10" t="n">
        <v>300001</v>
      </c>
      <c r="C83" s="10" t="n">
        <v>400000</v>
      </c>
      <c r="D83" s="10" t="n">
        <v>750</v>
      </c>
      <c r="E83" s="10" t="inlineStr">
        <is>
          <t>half-yearly</t>
        </is>
      </c>
      <c r="F83" s="10" t="inlineStr">
        <is>
          <t>ALL</t>
        </is>
      </c>
      <c r="G83" s="10" t="inlineStr">
        <is>
          <t>all</t>
        </is>
      </c>
      <c r="H83" s="10" t="inlineStr">
        <is>
          <t>—</t>
        </is>
      </c>
      <c r="I83" s="10" t="inlineStr">
        <is>
          <t>— no source cited —</t>
        </is>
      </c>
      <c r="J83" s="11" t="n"/>
      <c r="K83" s="11" t="n"/>
      <c r="L83" s="11" t="n"/>
      <c r="M83" s="11" t="n"/>
      <c r="N83" s="11" t="n"/>
      <c r="O83" s="11" t="n"/>
      <c r="P83" s="11" t="n"/>
    </row>
    <row r="84">
      <c r="A84" s="10" t="inlineStr">
        <is>
          <t>Puducherry</t>
        </is>
      </c>
      <c r="B84" s="10" t="n">
        <v>400001</v>
      </c>
      <c r="C84" s="10" t="n">
        <v>500000</v>
      </c>
      <c r="D84" s="10" t="n">
        <v>1000</v>
      </c>
      <c r="E84" s="10" t="inlineStr">
        <is>
          <t>half-yearly</t>
        </is>
      </c>
      <c r="F84" s="10" t="inlineStr">
        <is>
          <t>ALL</t>
        </is>
      </c>
      <c r="G84" s="10" t="inlineStr">
        <is>
          <t>all</t>
        </is>
      </c>
      <c r="H84" s="10" t="inlineStr">
        <is>
          <t>—</t>
        </is>
      </c>
      <c r="I84" s="10" t="inlineStr">
        <is>
          <t>— no source cited —</t>
        </is>
      </c>
      <c r="J84" s="11" t="n"/>
      <c r="K84" s="11" t="n"/>
      <c r="L84" s="11" t="n"/>
      <c r="M84" s="11" t="n"/>
      <c r="N84" s="11" t="n"/>
      <c r="O84" s="11" t="n"/>
      <c r="P84" s="11" t="n"/>
    </row>
    <row r="85">
      <c r="A85" s="10" t="inlineStr">
        <is>
          <t>Puducherry</t>
        </is>
      </c>
      <c r="B85" s="10" t="n">
        <v>500001</v>
      </c>
      <c r="C85" s="10" t="n">
        <v>99999999</v>
      </c>
      <c r="D85" s="10" t="n">
        <v>1250</v>
      </c>
      <c r="E85" s="10" t="inlineStr">
        <is>
          <t>half-yearly</t>
        </is>
      </c>
      <c r="F85" s="10" t="inlineStr">
        <is>
          <t>ALL</t>
        </is>
      </c>
      <c r="G85" s="10" t="inlineStr">
        <is>
          <t>all</t>
        </is>
      </c>
      <c r="H85" s="10" t="inlineStr">
        <is>
          <t>—</t>
        </is>
      </c>
      <c r="I85" s="10" t="inlineStr">
        <is>
          <t>— no source cited —</t>
        </is>
      </c>
      <c r="J85" s="11" t="n"/>
      <c r="K85" s="11" t="n"/>
      <c r="L85" s="11" t="n"/>
      <c r="M85" s="11" t="n"/>
      <c r="N85" s="11" t="n"/>
      <c r="O85" s="11" t="n"/>
      <c r="P85" s="11" t="n"/>
    </row>
    <row r="86">
      <c r="A86" s="10" t="inlineStr">
        <is>
          <t>Punjab</t>
        </is>
      </c>
      <c r="B86" s="10" t="n">
        <v>0</v>
      </c>
      <c r="C86" s="10" t="n">
        <v>250000</v>
      </c>
      <c r="D86" s="10" t="n">
        <v>0</v>
      </c>
      <c r="E86" s="10" t="inlineStr">
        <is>
          <t>yearly</t>
        </is>
      </c>
      <c r="F86" s="10" t="inlineStr">
        <is>
          <t>ALL</t>
        </is>
      </c>
      <c r="G86" s="10" t="inlineStr">
        <is>
          <t>all</t>
        </is>
      </c>
      <c r="H86" s="10" t="inlineStr">
        <is>
          <t>—</t>
        </is>
      </c>
      <c r="I86" s="10" t="inlineStr">
        <is>
          <t>— no source cited —</t>
        </is>
      </c>
      <c r="J86" s="11" t="n"/>
      <c r="K86" s="11" t="n"/>
      <c r="L86" s="11" t="n"/>
      <c r="M86" s="11" t="n"/>
      <c r="N86" s="11" t="n"/>
      <c r="O86" s="11" t="n"/>
      <c r="P86" s="11" t="n"/>
    </row>
    <row r="87">
      <c r="A87" s="10" t="inlineStr">
        <is>
          <t>Punjab</t>
        </is>
      </c>
      <c r="B87" s="10" t="n">
        <v>250001</v>
      </c>
      <c r="C87" s="10" t="n">
        <v>99999999</v>
      </c>
      <c r="D87" s="10" t="n">
        <v>2400</v>
      </c>
      <c r="E87" s="10" t="inlineStr">
        <is>
          <t>yearly</t>
        </is>
      </c>
      <c r="F87" s="10" t="inlineStr">
        <is>
          <t>ALL</t>
        </is>
      </c>
      <c r="G87" s="10" t="inlineStr">
        <is>
          <t>all</t>
        </is>
      </c>
      <c r="H87" s="10" t="inlineStr">
        <is>
          <t>—</t>
        </is>
      </c>
      <c r="I87" s="10" t="inlineStr">
        <is>
          <t>— no source cited —</t>
        </is>
      </c>
      <c r="J87" s="11" t="n"/>
      <c r="K87" s="11" t="n"/>
      <c r="L87" s="11" t="n"/>
      <c r="M87" s="11" t="n"/>
      <c r="N87" s="11" t="n"/>
      <c r="O87" s="11" t="n"/>
      <c r="P87" s="11" t="n"/>
    </row>
    <row r="88">
      <c r="A88" s="10" t="inlineStr">
        <is>
          <t>Sikkim</t>
        </is>
      </c>
      <c r="B88" s="10" t="n">
        <v>0</v>
      </c>
      <c r="C88" s="10" t="n">
        <v>20000</v>
      </c>
      <c r="D88" s="10" t="n">
        <v>0</v>
      </c>
      <c r="E88" s="10" t="inlineStr">
        <is>
          <t>monthly</t>
        </is>
      </c>
      <c r="F88" s="10" t="inlineStr">
        <is>
          <t>ALL</t>
        </is>
      </c>
      <c r="G88" s="10" t="inlineStr">
        <is>
          <t>all</t>
        </is>
      </c>
      <c r="H88" s="10" t="inlineStr">
        <is>
          <t>—</t>
        </is>
      </c>
      <c r="I88" s="10" t="inlineStr">
        <is>
          <t>— no source cited —</t>
        </is>
      </c>
      <c r="J88" s="11" t="n"/>
      <c r="K88" s="11" t="n"/>
      <c r="L88" s="11" t="n"/>
      <c r="M88" s="11" t="n"/>
      <c r="N88" s="11" t="n"/>
      <c r="O88" s="11" t="n"/>
      <c r="P88" s="11" t="n"/>
    </row>
    <row r="89">
      <c r="A89" s="10" t="inlineStr">
        <is>
          <t>Sikkim</t>
        </is>
      </c>
      <c r="B89" s="10" t="n">
        <v>20001</v>
      </c>
      <c r="C89" s="10" t="n">
        <v>30000</v>
      </c>
      <c r="D89" s="10" t="n">
        <v>125</v>
      </c>
      <c r="E89" s="10" t="inlineStr">
        <is>
          <t>monthly</t>
        </is>
      </c>
      <c r="F89" s="10" t="inlineStr">
        <is>
          <t>ALL</t>
        </is>
      </c>
      <c r="G89" s="10" t="inlineStr">
        <is>
          <t>all</t>
        </is>
      </c>
      <c r="H89" s="10" t="inlineStr">
        <is>
          <t>—</t>
        </is>
      </c>
      <c r="I89" s="10" t="inlineStr">
        <is>
          <t>— no source cited —</t>
        </is>
      </c>
      <c r="J89" s="11" t="n"/>
      <c r="K89" s="11" t="n"/>
      <c r="L89" s="11" t="n"/>
      <c r="M89" s="11" t="n"/>
      <c r="N89" s="11" t="n"/>
      <c r="O89" s="11" t="n"/>
      <c r="P89" s="11" t="n"/>
    </row>
    <row r="90">
      <c r="A90" s="10" t="inlineStr">
        <is>
          <t>Sikkim</t>
        </is>
      </c>
      <c r="B90" s="10" t="n">
        <v>30001</v>
      </c>
      <c r="C90" s="10" t="n">
        <v>40000</v>
      </c>
      <c r="D90" s="10" t="n">
        <v>150</v>
      </c>
      <c r="E90" s="10" t="inlineStr">
        <is>
          <t>monthly</t>
        </is>
      </c>
      <c r="F90" s="10" t="inlineStr">
        <is>
          <t>ALL</t>
        </is>
      </c>
      <c r="G90" s="10" t="inlineStr">
        <is>
          <t>all</t>
        </is>
      </c>
      <c r="H90" s="10" t="inlineStr">
        <is>
          <t>—</t>
        </is>
      </c>
      <c r="I90" s="10" t="inlineStr">
        <is>
          <t>— no source cited —</t>
        </is>
      </c>
      <c r="J90" s="11" t="n"/>
      <c r="K90" s="11" t="n"/>
      <c r="L90" s="11" t="n"/>
      <c r="M90" s="11" t="n"/>
      <c r="N90" s="11" t="n"/>
      <c r="O90" s="11" t="n"/>
      <c r="P90" s="11" t="n"/>
    </row>
    <row r="91">
      <c r="A91" s="10" t="inlineStr">
        <is>
          <t>Sikkim</t>
        </is>
      </c>
      <c r="B91" s="10" t="n">
        <v>40001</v>
      </c>
      <c r="C91" s="10" t="n">
        <v>99999999</v>
      </c>
      <c r="D91" s="10" t="n">
        <v>200</v>
      </c>
      <c r="E91" s="10" t="inlineStr">
        <is>
          <t>monthly</t>
        </is>
      </c>
      <c r="F91" s="10" t="inlineStr">
        <is>
          <t>ALL</t>
        </is>
      </c>
      <c r="G91" s="10" t="inlineStr">
        <is>
          <t>all</t>
        </is>
      </c>
      <c r="H91" s="10" t="inlineStr">
        <is>
          <t>—</t>
        </is>
      </c>
      <c r="I91" s="10" t="inlineStr">
        <is>
          <t>— no source cited —</t>
        </is>
      </c>
      <c r="J91" s="11" t="n"/>
      <c r="K91" s="11" t="n"/>
      <c r="L91" s="11" t="n"/>
      <c r="M91" s="11" t="n"/>
      <c r="N91" s="11" t="n"/>
      <c r="O91" s="11" t="n"/>
      <c r="P91" s="11" t="n"/>
    </row>
    <row r="92">
      <c r="A92" s="10" t="inlineStr">
        <is>
          <t>Tamil Nadu</t>
        </is>
      </c>
      <c r="B92" s="10" t="n">
        <v>1</v>
      </c>
      <c r="C92" s="10" t="n">
        <v>21000</v>
      </c>
      <c r="D92" s="10" t="n">
        <v>0</v>
      </c>
      <c r="E92" s="10" t="inlineStr">
        <is>
          <t>half-yearly</t>
        </is>
      </c>
      <c r="F92" s="10" t="inlineStr">
        <is>
          <t>ALL</t>
        </is>
      </c>
      <c r="G92" s="10" t="inlineStr">
        <is>
          <t>all</t>
        </is>
      </c>
      <c r="H92" s="10" t="inlineStr">
        <is>
          <t>—</t>
        </is>
      </c>
      <c r="I92" s="10" t="inlineStr">
        <is>
          <t>— no source cited —</t>
        </is>
      </c>
      <c r="J92" s="11" t="n"/>
      <c r="K92" s="11" t="n"/>
      <c r="L92" s="11" t="n"/>
      <c r="M92" s="11" t="n"/>
      <c r="N92" s="11" t="n"/>
      <c r="O92" s="11" t="n"/>
      <c r="P92" s="11" t="n"/>
    </row>
    <row r="93">
      <c r="A93" s="10" t="inlineStr">
        <is>
          <t>Tamil Nadu</t>
        </is>
      </c>
      <c r="B93" s="10" t="n">
        <v>21001</v>
      </c>
      <c r="C93" s="10" t="n">
        <v>30000</v>
      </c>
      <c r="D93" s="10" t="n">
        <v>180</v>
      </c>
      <c r="E93" s="10" t="inlineStr">
        <is>
          <t>half-yearly</t>
        </is>
      </c>
      <c r="F93" s="10" t="inlineStr">
        <is>
          <t>ALL</t>
        </is>
      </c>
      <c r="G93" s="10" t="inlineStr">
        <is>
          <t>all</t>
        </is>
      </c>
      <c r="H93" s="10" t="inlineStr">
        <is>
          <t>—</t>
        </is>
      </c>
      <c r="I93" s="10" t="inlineStr">
        <is>
          <t>— no source cited —</t>
        </is>
      </c>
      <c r="J93" s="11" t="n"/>
      <c r="K93" s="11" t="n"/>
      <c r="L93" s="11" t="n"/>
      <c r="M93" s="11" t="n"/>
      <c r="N93" s="11" t="n"/>
      <c r="O93" s="11" t="n"/>
      <c r="P93" s="11" t="n"/>
    </row>
    <row r="94">
      <c r="A94" s="10" t="inlineStr">
        <is>
          <t>Tamil Nadu</t>
        </is>
      </c>
      <c r="B94" s="10" t="n">
        <v>30001</v>
      </c>
      <c r="C94" s="10" t="n">
        <v>45000</v>
      </c>
      <c r="D94" s="10" t="n">
        <v>425</v>
      </c>
      <c r="E94" s="10" t="inlineStr">
        <is>
          <t>half-yearly</t>
        </is>
      </c>
      <c r="F94" s="10" t="inlineStr">
        <is>
          <t>ALL</t>
        </is>
      </c>
      <c r="G94" s="10" t="inlineStr">
        <is>
          <t>all</t>
        </is>
      </c>
      <c r="H94" s="10" t="inlineStr">
        <is>
          <t>—</t>
        </is>
      </c>
      <c r="I94" s="10" t="inlineStr">
        <is>
          <t>— no source cited —</t>
        </is>
      </c>
      <c r="J94" s="11" t="n"/>
      <c r="K94" s="11" t="n"/>
      <c r="L94" s="11" t="n"/>
      <c r="M94" s="11" t="n"/>
      <c r="N94" s="11" t="n"/>
      <c r="O94" s="11" t="n"/>
      <c r="P94" s="11" t="n"/>
    </row>
    <row r="95">
      <c r="A95" s="10" t="inlineStr">
        <is>
          <t>Tamil Nadu</t>
        </is>
      </c>
      <c r="B95" s="10" t="n">
        <v>45001</v>
      </c>
      <c r="C95" s="10" t="n">
        <v>60000</v>
      </c>
      <c r="D95" s="10" t="n">
        <v>930</v>
      </c>
      <c r="E95" s="10" t="inlineStr">
        <is>
          <t>half-yearly</t>
        </is>
      </c>
      <c r="F95" s="10" t="inlineStr">
        <is>
          <t>ALL</t>
        </is>
      </c>
      <c r="G95" s="10" t="inlineStr">
        <is>
          <t>all</t>
        </is>
      </c>
      <c r="H95" s="10" t="inlineStr">
        <is>
          <t>—</t>
        </is>
      </c>
      <c r="I95" s="10" t="inlineStr">
        <is>
          <t>— no source cited —</t>
        </is>
      </c>
      <c r="J95" s="11" t="n"/>
      <c r="K95" s="11" t="n"/>
      <c r="L95" s="11" t="n"/>
      <c r="M95" s="11" t="n"/>
      <c r="N95" s="11" t="n"/>
      <c r="O95" s="11" t="n"/>
      <c r="P95" s="11" t="n"/>
    </row>
    <row r="96">
      <c r="A96" s="10" t="inlineStr">
        <is>
          <t>Tamil Nadu</t>
        </is>
      </c>
      <c r="B96" s="10" t="n">
        <v>60001</v>
      </c>
      <c r="C96" s="10" t="n">
        <v>75000</v>
      </c>
      <c r="D96" s="10" t="n">
        <v>1025</v>
      </c>
      <c r="E96" s="10" t="inlineStr">
        <is>
          <t>half-yearly</t>
        </is>
      </c>
      <c r="F96" s="10" t="inlineStr">
        <is>
          <t>ALL</t>
        </is>
      </c>
      <c r="G96" s="10" t="inlineStr">
        <is>
          <t>all</t>
        </is>
      </c>
      <c r="H96" s="10" t="inlineStr">
        <is>
          <t>—</t>
        </is>
      </c>
      <c r="I96" s="10" t="inlineStr">
        <is>
          <t>— no source cited —</t>
        </is>
      </c>
      <c r="J96" s="11" t="n"/>
      <c r="K96" s="11" t="n"/>
      <c r="L96" s="11" t="n"/>
      <c r="M96" s="11" t="n"/>
      <c r="N96" s="11" t="n"/>
      <c r="O96" s="11" t="n"/>
      <c r="P96" s="11" t="n"/>
    </row>
    <row r="97">
      <c r="A97" s="10" t="inlineStr">
        <is>
          <t>Tamil Nadu</t>
        </is>
      </c>
      <c r="B97" s="10" t="n">
        <v>75001</v>
      </c>
      <c r="C97" s="10" t="n">
        <v>99999999</v>
      </c>
      <c r="D97" s="10" t="n">
        <v>1250</v>
      </c>
      <c r="E97" s="10" t="inlineStr">
        <is>
          <t>half-yearly</t>
        </is>
      </c>
      <c r="F97" s="10" t="inlineStr">
        <is>
          <t>ALL</t>
        </is>
      </c>
      <c r="G97" s="10" t="inlineStr">
        <is>
          <t>all</t>
        </is>
      </c>
      <c r="H97" s="10" t="inlineStr">
        <is>
          <t>—</t>
        </is>
      </c>
      <c r="I97" s="10" t="inlineStr">
        <is>
          <t>— no source cited —</t>
        </is>
      </c>
      <c r="J97" s="11" t="n"/>
      <c r="K97" s="11" t="n"/>
      <c r="L97" s="11" t="n"/>
      <c r="M97" s="11" t="n"/>
      <c r="N97" s="11" t="n"/>
      <c r="O97" s="11" t="n"/>
      <c r="P97" s="11" t="n"/>
    </row>
    <row r="98">
      <c r="A98" s="10" t="inlineStr">
        <is>
          <t>Telangana</t>
        </is>
      </c>
      <c r="B98" s="10" t="n">
        <v>0</v>
      </c>
      <c r="C98" s="10" t="n">
        <v>15000</v>
      </c>
      <c r="D98" s="10" t="n">
        <v>0</v>
      </c>
      <c r="E98" s="10" t="inlineStr">
        <is>
          <t>monthly</t>
        </is>
      </c>
      <c r="F98" s="10" t="inlineStr">
        <is>
          <t>ALL</t>
        </is>
      </c>
      <c r="G98" s="10" t="inlineStr">
        <is>
          <t>all</t>
        </is>
      </c>
      <c r="H98" s="10" t="inlineStr">
        <is>
          <t>—</t>
        </is>
      </c>
      <c r="I98" s="10" t="inlineStr">
        <is>
          <t>— no source cited —</t>
        </is>
      </c>
      <c r="J98" s="11" t="n"/>
      <c r="K98" s="11" t="n"/>
      <c r="L98" s="11" t="n"/>
      <c r="M98" s="11" t="n"/>
      <c r="N98" s="11" t="n"/>
      <c r="O98" s="11" t="n"/>
      <c r="P98" s="11" t="n"/>
    </row>
    <row r="99">
      <c r="A99" s="10" t="inlineStr">
        <is>
          <t>Telangana</t>
        </is>
      </c>
      <c r="B99" s="10" t="n">
        <v>15001</v>
      </c>
      <c r="C99" s="10" t="n">
        <v>20000</v>
      </c>
      <c r="D99" s="10" t="n">
        <v>150</v>
      </c>
      <c r="E99" s="10" t="inlineStr">
        <is>
          <t>monthly</t>
        </is>
      </c>
      <c r="F99" s="10" t="inlineStr">
        <is>
          <t>ALL</t>
        </is>
      </c>
      <c r="G99" s="10" t="inlineStr">
        <is>
          <t>all</t>
        </is>
      </c>
      <c r="H99" s="10" t="inlineStr">
        <is>
          <t>—</t>
        </is>
      </c>
      <c r="I99" s="10" t="inlineStr">
        <is>
          <t>— no source cited —</t>
        </is>
      </c>
      <c r="J99" s="11" t="n"/>
      <c r="K99" s="11" t="n"/>
      <c r="L99" s="11" t="n"/>
      <c r="M99" s="11" t="n"/>
      <c r="N99" s="11" t="n"/>
      <c r="O99" s="11" t="n"/>
      <c r="P99" s="11" t="n"/>
    </row>
    <row r="100">
      <c r="A100" s="10" t="inlineStr">
        <is>
          <t>Telangana</t>
        </is>
      </c>
      <c r="B100" s="10" t="n">
        <v>20001</v>
      </c>
      <c r="C100" s="10" t="n">
        <v>99999999</v>
      </c>
      <c r="D100" s="10" t="n">
        <v>200</v>
      </c>
      <c r="E100" s="10" t="inlineStr">
        <is>
          <t>monthly</t>
        </is>
      </c>
      <c r="F100" s="10" t="inlineStr">
        <is>
          <t>ALL</t>
        </is>
      </c>
      <c r="G100" s="10" t="inlineStr">
        <is>
          <t>all</t>
        </is>
      </c>
      <c r="H100" s="10" t="inlineStr">
        <is>
          <t>—</t>
        </is>
      </c>
      <c r="I100" s="10" t="inlineStr">
        <is>
          <t>— no source cited —</t>
        </is>
      </c>
      <c r="J100" s="11" t="n"/>
      <c r="K100" s="11" t="n"/>
      <c r="L100" s="11" t="n"/>
      <c r="M100" s="11" t="n"/>
      <c r="N100" s="11" t="n"/>
      <c r="O100" s="11" t="n"/>
      <c r="P100" s="11" t="n"/>
    </row>
    <row r="101">
      <c r="A101" s="10" t="inlineStr">
        <is>
          <t>Tripura</t>
        </is>
      </c>
      <c r="B101" s="10" t="n">
        <v>0</v>
      </c>
      <c r="C101" s="10" t="n">
        <v>7500</v>
      </c>
      <c r="D101" s="10" t="n">
        <v>0</v>
      </c>
      <c r="E101" s="10" t="inlineStr">
        <is>
          <t>monthly</t>
        </is>
      </c>
      <c r="F101" s="10" t="inlineStr">
        <is>
          <t>ALL</t>
        </is>
      </c>
      <c r="G101" s="10" t="inlineStr">
        <is>
          <t>all</t>
        </is>
      </c>
      <c r="H101" s="10" t="inlineStr">
        <is>
          <t>—</t>
        </is>
      </c>
      <c r="I101" s="10" t="inlineStr">
        <is>
          <t>— no source cited —</t>
        </is>
      </c>
      <c r="J101" s="11" t="n"/>
      <c r="K101" s="11" t="n"/>
      <c r="L101" s="11" t="n"/>
      <c r="M101" s="11" t="n"/>
      <c r="N101" s="11" t="n"/>
      <c r="O101" s="11" t="n"/>
      <c r="P101" s="11" t="n"/>
    </row>
    <row r="102">
      <c r="A102" s="10" t="inlineStr">
        <is>
          <t>Tripura</t>
        </is>
      </c>
      <c r="B102" s="10" t="n">
        <v>7501</v>
      </c>
      <c r="C102" s="10" t="n">
        <v>15000</v>
      </c>
      <c r="D102" s="10" t="n">
        <v>150</v>
      </c>
      <c r="E102" s="10" t="inlineStr">
        <is>
          <t>monthly</t>
        </is>
      </c>
      <c r="F102" s="10" t="inlineStr">
        <is>
          <t>ALL</t>
        </is>
      </c>
      <c r="G102" s="10" t="inlineStr">
        <is>
          <t>all</t>
        </is>
      </c>
      <c r="H102" s="10" t="inlineStr">
        <is>
          <t>—</t>
        </is>
      </c>
      <c r="I102" s="10" t="inlineStr">
        <is>
          <t>— no source cited —</t>
        </is>
      </c>
      <c r="J102" s="11" t="n"/>
      <c r="K102" s="11" t="n"/>
      <c r="L102" s="11" t="n"/>
      <c r="M102" s="11" t="n"/>
      <c r="N102" s="11" t="n"/>
      <c r="O102" s="11" t="n"/>
      <c r="P102" s="11" t="n"/>
    </row>
    <row r="103">
      <c r="A103" s="10" t="inlineStr">
        <is>
          <t>Tripura</t>
        </is>
      </c>
      <c r="B103" s="10" t="n">
        <v>15001</v>
      </c>
      <c r="C103" s="10" t="n">
        <v>99999999</v>
      </c>
      <c r="D103" s="10" t="n">
        <v>208</v>
      </c>
      <c r="E103" s="10" t="inlineStr">
        <is>
          <t>monthly</t>
        </is>
      </c>
      <c r="F103" s="10" t="inlineStr">
        <is>
          <t>ALL</t>
        </is>
      </c>
      <c r="G103" s="10" t="inlineStr">
        <is>
          <t>all</t>
        </is>
      </c>
      <c r="H103" s="10" t="inlineStr">
        <is>
          <t>—</t>
        </is>
      </c>
      <c r="I103" s="10" t="inlineStr">
        <is>
          <t>— no source cited —</t>
        </is>
      </c>
      <c r="J103" s="11" t="n"/>
      <c r="K103" s="11" t="n"/>
      <c r="L103" s="11" t="n"/>
      <c r="M103" s="11" t="n"/>
      <c r="N103" s="11" t="n"/>
      <c r="O103" s="11" t="n"/>
      <c r="P103" s="11" t="n"/>
    </row>
    <row r="104">
      <c r="A104" s="10" t="inlineStr">
        <is>
          <t>West Bengal</t>
        </is>
      </c>
      <c r="B104" s="10" t="n">
        <v>0</v>
      </c>
      <c r="C104" s="10" t="n">
        <v>8500</v>
      </c>
      <c r="D104" s="10" t="n">
        <v>0</v>
      </c>
      <c r="E104" s="10" t="inlineStr">
        <is>
          <t>monthly</t>
        </is>
      </c>
      <c r="F104" s="10" t="inlineStr">
        <is>
          <t>ALL</t>
        </is>
      </c>
      <c r="G104" s="10" t="inlineStr">
        <is>
          <t>all</t>
        </is>
      </c>
      <c r="H104" s="10" t="inlineStr">
        <is>
          <t>—</t>
        </is>
      </c>
      <c r="I104" s="10" t="inlineStr">
        <is>
          <t>— no source cited —</t>
        </is>
      </c>
      <c r="J104" s="11" t="n"/>
      <c r="K104" s="11" t="n"/>
      <c r="L104" s="11" t="n"/>
      <c r="M104" s="11" t="n"/>
      <c r="N104" s="11" t="n"/>
      <c r="O104" s="11" t="n"/>
      <c r="P104" s="11" t="n"/>
    </row>
    <row r="105">
      <c r="A105" s="10" t="inlineStr">
        <is>
          <t>West Bengal</t>
        </is>
      </c>
      <c r="B105" s="10" t="n">
        <v>8501</v>
      </c>
      <c r="C105" s="10" t="n">
        <v>10000</v>
      </c>
      <c r="D105" s="10" t="n">
        <v>0</v>
      </c>
      <c r="E105" s="10" t="inlineStr">
        <is>
          <t>monthly</t>
        </is>
      </c>
      <c r="F105" s="10" t="inlineStr">
        <is>
          <t>ALL</t>
        </is>
      </c>
      <c r="G105" s="10" t="inlineStr">
        <is>
          <t>all</t>
        </is>
      </c>
      <c r="H105" s="10" t="inlineStr">
        <is>
          <t>—</t>
        </is>
      </c>
      <c r="I105" s="10" t="inlineStr">
        <is>
          <t>— no source cited —</t>
        </is>
      </c>
      <c r="J105" s="11" t="n"/>
      <c r="K105" s="11" t="n"/>
      <c r="L105" s="11" t="n"/>
      <c r="M105" s="11" t="n"/>
      <c r="N105" s="11" t="n"/>
      <c r="O105" s="11" t="n"/>
      <c r="P105" s="11" t="n"/>
    </row>
    <row r="106">
      <c r="A106" s="10" t="inlineStr">
        <is>
          <t>West Bengal</t>
        </is>
      </c>
      <c r="B106" s="10" t="n">
        <v>10001</v>
      </c>
      <c r="C106" s="10" t="n">
        <v>15000</v>
      </c>
      <c r="D106" s="10" t="n">
        <v>110</v>
      </c>
      <c r="E106" s="10" t="inlineStr">
        <is>
          <t>monthly</t>
        </is>
      </c>
      <c r="F106" s="10" t="inlineStr">
        <is>
          <t>ALL</t>
        </is>
      </c>
      <c r="G106" s="10" t="inlineStr">
        <is>
          <t>all</t>
        </is>
      </c>
      <c r="H106" s="10" t="inlineStr">
        <is>
          <t>—</t>
        </is>
      </c>
      <c r="I106" s="10" t="inlineStr">
        <is>
          <t>— no source cited —</t>
        </is>
      </c>
      <c r="J106" s="11" t="n"/>
      <c r="K106" s="11" t="n"/>
      <c r="L106" s="11" t="n"/>
      <c r="M106" s="11" t="n"/>
      <c r="N106" s="11" t="n"/>
      <c r="O106" s="11" t="n"/>
      <c r="P106" s="11" t="n"/>
    </row>
    <row r="107">
      <c r="A107" s="10" t="inlineStr">
        <is>
          <t>West Bengal</t>
        </is>
      </c>
      <c r="B107" s="10" t="n">
        <v>15001</v>
      </c>
      <c r="C107" s="10" t="n">
        <v>25000</v>
      </c>
      <c r="D107" s="10" t="n">
        <v>130</v>
      </c>
      <c r="E107" s="10" t="inlineStr">
        <is>
          <t>monthly</t>
        </is>
      </c>
      <c r="F107" s="10" t="inlineStr">
        <is>
          <t>ALL</t>
        </is>
      </c>
      <c r="G107" s="10" t="inlineStr">
        <is>
          <t>all</t>
        </is>
      </c>
      <c r="H107" s="10" t="inlineStr">
        <is>
          <t>—</t>
        </is>
      </c>
      <c r="I107" s="10" t="inlineStr">
        <is>
          <t>— no source cited —</t>
        </is>
      </c>
      <c r="J107" s="11" t="n"/>
      <c r="K107" s="11" t="n"/>
      <c r="L107" s="11" t="n"/>
      <c r="M107" s="11" t="n"/>
      <c r="N107" s="11" t="n"/>
      <c r="O107" s="11" t="n"/>
      <c r="P107" s="11" t="n"/>
    </row>
    <row r="108">
      <c r="A108" s="10" t="inlineStr">
        <is>
          <t>West Bengal</t>
        </is>
      </c>
      <c r="B108" s="10" t="n">
        <v>25001</v>
      </c>
      <c r="C108" s="10" t="n">
        <v>40000</v>
      </c>
      <c r="D108" s="10" t="n">
        <v>150</v>
      </c>
      <c r="E108" s="10" t="inlineStr">
        <is>
          <t>monthly</t>
        </is>
      </c>
      <c r="F108" s="10" t="inlineStr">
        <is>
          <t>ALL</t>
        </is>
      </c>
      <c r="G108" s="10" t="inlineStr">
        <is>
          <t>all</t>
        </is>
      </c>
      <c r="H108" s="10" t="inlineStr">
        <is>
          <t>—</t>
        </is>
      </c>
      <c r="I108" s="10" t="inlineStr">
        <is>
          <t>— no source cited —</t>
        </is>
      </c>
      <c r="J108" s="11" t="n"/>
      <c r="K108" s="11" t="n"/>
      <c r="L108" s="11" t="n"/>
      <c r="M108" s="11" t="n"/>
      <c r="N108" s="11" t="n"/>
      <c r="O108" s="11" t="n"/>
      <c r="P108" s="11" t="n"/>
    </row>
    <row r="109">
      <c r="A109" s="10" t="inlineStr">
        <is>
          <t>West Bengal</t>
        </is>
      </c>
      <c r="B109" s="10" t="n">
        <v>40001</v>
      </c>
      <c r="C109" s="10" t="n">
        <v>99999999</v>
      </c>
      <c r="D109" s="10" t="n">
        <v>200</v>
      </c>
      <c r="E109" s="10" t="inlineStr">
        <is>
          <t>monthly</t>
        </is>
      </c>
      <c r="F109" s="10" t="inlineStr">
        <is>
          <t>ALL</t>
        </is>
      </c>
      <c r="G109" s="10" t="inlineStr">
        <is>
          <t>all</t>
        </is>
      </c>
      <c r="H109" s="10" t="inlineStr">
        <is>
          <t>—</t>
        </is>
      </c>
      <c r="I109" s="10" t="inlineStr">
        <is>
          <t>— no source cited —</t>
        </is>
      </c>
      <c r="J109" s="11" t="n"/>
      <c r="K109" s="11" t="n"/>
      <c r="L109" s="11" t="n"/>
      <c r="M109" s="11" t="n"/>
      <c r="N109" s="11" t="n"/>
      <c r="O109" s="11" t="n"/>
      <c r="P109" s="11" t="n"/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2" customWidth="1" min="5" max="5"/>
    <col width="13" customWidth="1" min="6" max="6"/>
    <col width="14" customWidth="1" min="7" max="7"/>
    <col width="14" customWidth="1" min="8" max="8"/>
    <col width="44" customWidth="1" min="9" max="9"/>
    <col width="11" customWidth="1" min="10" max="10"/>
    <col width="18" customWidth="1" min="11" max="11"/>
    <col width="15" customWidth="1" min="12" max="12"/>
    <col width="34" customWidth="1" min="13" max="13"/>
    <col width="16" customWidth="1" min="14" max="14"/>
    <col width="14" customWidth="1" min="15" max="15"/>
    <col width="40" customWidth="1" min="16" max="16"/>
  </cols>
  <sheetData>
    <row r="1">
      <c r="A1" s="7" t="inlineStr">
        <is>
          <t>Labour Welfare Fund — shipped state defaults</t>
        </is>
      </c>
    </row>
    <row r="2" ht="30" customHeight="1">
      <c r="A2" s="8" t="inlineStr">
        <is>
          <t>15 states. LWF amounts change quietly and with little notice, so treat an unchanged figure as unverified rather than confirmed.</t>
        </is>
      </c>
    </row>
    <row r="4" ht="30" customHeight="1">
      <c r="A4" s="9" t="inlineStr">
        <is>
          <t>State</t>
        </is>
      </c>
      <c r="B4" s="9" t="inlineStr">
        <is>
          <t>Wage from</t>
        </is>
      </c>
      <c r="C4" s="9" t="inlineStr">
        <is>
          <t>Wage to</t>
        </is>
      </c>
      <c r="D4" s="9" t="inlineStr">
        <is>
          <t>Employee</t>
        </is>
      </c>
      <c r="E4" s="9" t="inlineStr">
        <is>
          <t>Employer</t>
        </is>
      </c>
      <c r="F4" s="9" t="inlineStr">
        <is>
          <t>Frequency</t>
        </is>
      </c>
      <c r="G4" s="9" t="inlineStr">
        <is>
          <t>Months</t>
        </is>
      </c>
      <c r="H4" s="9" t="inlineStr">
        <is>
          <t>Effective from</t>
        </is>
      </c>
      <c r="I4" s="9" t="inlineStr">
        <is>
          <t>Source stated in code</t>
        </is>
      </c>
      <c r="J4" s="9" t="inlineStr">
        <is>
          <t>Correct?</t>
        </is>
      </c>
      <c r="K4" s="9" t="inlineStr">
        <is>
          <t>Corrected value</t>
        </is>
      </c>
      <c r="L4" s="9" t="inlineStr">
        <is>
          <t>Effective from</t>
        </is>
      </c>
      <c r="M4" s="9" t="inlineStr">
        <is>
          <t>Source cited by reviewer</t>
        </is>
      </c>
      <c r="N4" s="9" t="inlineStr">
        <is>
          <t>Reviewer initials</t>
        </is>
      </c>
      <c r="O4" s="9" t="inlineStr">
        <is>
          <t>Date checked</t>
        </is>
      </c>
      <c r="P4" s="9" t="inlineStr">
        <is>
          <t>Notes</t>
        </is>
      </c>
    </row>
    <row r="5">
      <c r="A5" s="10" t="inlineStr">
        <is>
          <t>Andhra Pradesh</t>
        </is>
      </c>
      <c r="B5" s="10" t="n">
        <v>0</v>
      </c>
      <c r="C5" s="10" t="n">
        <v>99999999</v>
      </c>
      <c r="D5" s="10" t="n">
        <v>30</v>
      </c>
      <c r="E5" s="10" t="n">
        <v>70</v>
      </c>
      <c r="F5" s="10" t="inlineStr">
        <is>
          <t>yearly</t>
        </is>
      </c>
      <c r="G5" s="10" t="inlineStr">
        <is>
          <t>12</t>
        </is>
      </c>
      <c r="H5" s="10" t="inlineStr">
        <is>
          <t>—</t>
        </is>
      </c>
      <c r="I5" s="10" t="inlineStr">
        <is>
          <t>— no source cited —</t>
        </is>
      </c>
      <c r="J5" s="11" t="n"/>
      <c r="K5" s="11" t="n"/>
      <c r="L5" s="11" t="n"/>
      <c r="M5" s="11" t="n"/>
      <c r="N5" s="11" t="n"/>
      <c r="O5" s="11" t="n"/>
      <c r="P5" s="11" t="n"/>
    </row>
    <row r="6">
      <c r="A6" s="10" t="inlineStr">
        <is>
          <t>Chhattisgarh</t>
        </is>
      </c>
      <c r="B6" s="10" t="n">
        <v>0</v>
      </c>
      <c r="C6" s="10" t="n">
        <v>99999999</v>
      </c>
      <c r="D6" s="10" t="n">
        <v>15</v>
      </c>
      <c r="E6" s="10" t="n">
        <v>45</v>
      </c>
      <c r="F6" s="10" t="inlineStr">
        <is>
          <t>half-yearly</t>
        </is>
      </c>
      <c r="G6" s="10" t="inlineStr">
        <is>
          <t>6, 12</t>
        </is>
      </c>
      <c r="H6" s="10" t="inlineStr">
        <is>
          <t>—</t>
        </is>
      </c>
      <c r="I6" s="10" t="inlineStr">
        <is>
          <t>— no source cited —</t>
        </is>
      </c>
      <c r="J6" s="11" t="n"/>
      <c r="K6" s="11" t="n"/>
      <c r="L6" s="11" t="n"/>
      <c r="M6" s="11" t="n"/>
      <c r="N6" s="11" t="n"/>
      <c r="O6" s="11" t="n"/>
      <c r="P6" s="11" t="n"/>
    </row>
    <row r="7">
      <c r="A7" s="10" t="inlineStr">
        <is>
          <t>Delhi</t>
        </is>
      </c>
      <c r="B7" s="10" t="n">
        <v>0</v>
      </c>
      <c r="C7" s="10" t="n">
        <v>99999999</v>
      </c>
      <c r="D7" s="10" t="n">
        <v>0.75</v>
      </c>
      <c r="E7" s="10" t="n">
        <v>2.25</v>
      </c>
      <c r="F7" s="10" t="inlineStr">
        <is>
          <t>half-yearly</t>
        </is>
      </c>
      <c r="G7" s="10" t="inlineStr">
        <is>
          <t>6, 12</t>
        </is>
      </c>
      <c r="H7" s="10" t="inlineStr">
        <is>
          <t>—</t>
        </is>
      </c>
      <c r="I7" s="10" t="inlineStr">
        <is>
          <t>— no source cited —</t>
        </is>
      </c>
      <c r="J7" s="11" t="n"/>
      <c r="K7" s="11" t="n"/>
      <c r="L7" s="11" t="n"/>
      <c r="M7" s="11" t="n"/>
      <c r="N7" s="11" t="n"/>
      <c r="O7" s="11" t="n"/>
      <c r="P7" s="11" t="n"/>
    </row>
    <row r="8">
      <c r="A8" s="10" t="inlineStr">
        <is>
          <t>Goa</t>
        </is>
      </c>
      <c r="B8" s="10" t="n">
        <v>0</v>
      </c>
      <c r="C8" s="10" t="n">
        <v>6500</v>
      </c>
      <c r="D8" s="10" t="n">
        <v>60</v>
      </c>
      <c r="E8" s="10" t="n">
        <v>180</v>
      </c>
      <c r="F8" s="10" t="inlineStr">
        <is>
          <t>half-yearly</t>
        </is>
      </c>
      <c r="G8" s="10" t="inlineStr">
        <is>
          <t>6, 12</t>
        </is>
      </c>
      <c r="H8" s="10" t="inlineStr">
        <is>
          <t>—</t>
        </is>
      </c>
      <c r="I8" s="10" t="inlineStr">
        <is>
          <t>— no source cited —</t>
        </is>
      </c>
      <c r="J8" s="11" t="n"/>
      <c r="K8" s="11" t="n"/>
      <c r="L8" s="11" t="n"/>
      <c r="M8" s="11" t="n"/>
      <c r="N8" s="11" t="n"/>
      <c r="O8" s="11" t="n"/>
      <c r="P8" s="11" t="n"/>
    </row>
    <row r="9">
      <c r="A9" s="10" t="inlineStr">
        <is>
          <t>Goa</t>
        </is>
      </c>
      <c r="B9" s="10" t="n">
        <v>6501</v>
      </c>
      <c r="C9" s="10" t="n">
        <v>99999999</v>
      </c>
      <c r="D9" s="10" t="n">
        <v>120</v>
      </c>
      <c r="E9" s="10" t="n">
        <v>360</v>
      </c>
      <c r="F9" s="10" t="inlineStr">
        <is>
          <t>half-yearly</t>
        </is>
      </c>
      <c r="G9" s="10" t="inlineStr">
        <is>
          <t>6, 12</t>
        </is>
      </c>
      <c r="H9" s="10" t="inlineStr">
        <is>
          <t>—</t>
        </is>
      </c>
      <c r="I9" s="10" t="inlineStr">
        <is>
          <t>— no source cited —</t>
        </is>
      </c>
      <c r="J9" s="11" t="n"/>
      <c r="K9" s="11" t="n"/>
      <c r="L9" s="11" t="n"/>
      <c r="M9" s="11" t="n"/>
      <c r="N9" s="11" t="n"/>
      <c r="O9" s="11" t="n"/>
      <c r="P9" s="11" t="n"/>
    </row>
    <row r="10">
      <c r="A10" s="10" t="inlineStr">
        <is>
          <t>Gujarat</t>
        </is>
      </c>
      <c r="B10" s="10" t="n">
        <v>0</v>
      </c>
      <c r="C10" s="10" t="n">
        <v>99999999</v>
      </c>
      <c r="D10" s="10" t="n">
        <v>6</v>
      </c>
      <c r="E10" s="10" t="n">
        <v>12</v>
      </c>
      <c r="F10" s="10" t="inlineStr">
        <is>
          <t>half-yearly</t>
        </is>
      </c>
      <c r="G10" s="10" t="inlineStr">
        <is>
          <t>6, 12</t>
        </is>
      </c>
      <c r="H10" s="10" t="inlineStr">
        <is>
          <t>—</t>
        </is>
      </c>
      <c r="I10" s="10" t="inlineStr">
        <is>
          <t>— no source cited —</t>
        </is>
      </c>
      <c r="J10" s="11" t="n"/>
      <c r="K10" s="11" t="n"/>
      <c r="L10" s="11" t="n"/>
      <c r="M10" s="11" t="n"/>
      <c r="N10" s="11" t="n"/>
      <c r="O10" s="11" t="n"/>
      <c r="P10" s="11" t="n"/>
    </row>
    <row r="11">
      <c r="A11" s="10" t="inlineStr">
        <is>
          <t>Haryana</t>
        </is>
      </c>
      <c r="B11" s="10" t="n">
        <v>0</v>
      </c>
      <c r="C11" s="10" t="n">
        <v>99999999</v>
      </c>
      <c r="D11" s="10" t="n">
        <v>31</v>
      </c>
      <c r="E11" s="10" t="n">
        <v>62</v>
      </c>
      <c r="F11" s="10" t="inlineStr">
        <is>
          <t>monthly</t>
        </is>
      </c>
      <c r="G11" s="10" t="inlineStr">
        <is>
          <t>all</t>
        </is>
      </c>
      <c r="H11" s="10" t="inlineStr">
        <is>
          <t>—</t>
        </is>
      </c>
      <c r="I11" s="10" t="inlineStr">
        <is>
          <t>— no source cited —</t>
        </is>
      </c>
      <c r="J11" s="11" t="n"/>
      <c r="K11" s="11" t="n"/>
      <c r="L11" s="11" t="n"/>
      <c r="M11" s="11" t="n"/>
      <c r="N11" s="11" t="n"/>
      <c r="O11" s="11" t="n"/>
      <c r="P11" s="11" t="n"/>
    </row>
    <row r="12">
      <c r="A12" s="10" t="inlineStr">
        <is>
          <t>Karnataka</t>
        </is>
      </c>
      <c r="B12" s="10" t="n">
        <v>0</v>
      </c>
      <c r="C12" s="10" t="n">
        <v>99999999</v>
      </c>
      <c r="D12" s="10" t="n">
        <v>50</v>
      </c>
      <c r="E12" s="10" t="n">
        <v>100</v>
      </c>
      <c r="F12" s="10" t="inlineStr">
        <is>
          <t>yearly</t>
        </is>
      </c>
      <c r="G12" s="10" t="inlineStr">
        <is>
          <t>12</t>
        </is>
      </c>
      <c r="H12" s="10" t="inlineStr">
        <is>
          <t>2025-01-10</t>
        </is>
      </c>
      <c r="I12" s="10" t="inlineStr">
        <is>
          <t>https://www.indiacode.nic.in/bitstream/123456789/7601/1/15_of_1965_%28e%29.pdf</t>
        </is>
      </c>
      <c r="J12" s="11" t="n"/>
      <c r="K12" s="11" t="n"/>
      <c r="L12" s="11" t="n"/>
      <c r="M12" s="11" t="n"/>
      <c r="N12" s="11" t="n"/>
      <c r="O12" s="11" t="n"/>
      <c r="P12" s="11" t="n"/>
    </row>
    <row r="13">
      <c r="A13" s="10" t="inlineStr">
        <is>
          <t>Kerala</t>
        </is>
      </c>
      <c r="B13" s="10" t="n">
        <v>0</v>
      </c>
      <c r="C13" s="10" t="n">
        <v>99999999</v>
      </c>
      <c r="D13" s="10" t="n">
        <v>50</v>
      </c>
      <c r="E13" s="10" t="n">
        <v>50</v>
      </c>
      <c r="F13" s="10" t="inlineStr">
        <is>
          <t>monthly</t>
        </is>
      </c>
      <c r="G13" s="10" t="inlineStr">
        <is>
          <t>all</t>
        </is>
      </c>
      <c r="H13" s="10" t="inlineStr">
        <is>
          <t>—</t>
        </is>
      </c>
      <c r="I13" s="10" t="inlineStr">
        <is>
          <t>— no source cited —</t>
        </is>
      </c>
      <c r="J13" s="11" t="n"/>
      <c r="K13" s="11" t="n"/>
      <c r="L13" s="11" t="n"/>
      <c r="M13" s="11" t="n"/>
      <c r="N13" s="11" t="n"/>
      <c r="O13" s="11" t="n"/>
      <c r="P13" s="11" t="n"/>
    </row>
    <row r="14">
      <c r="A14" s="10" t="inlineStr">
        <is>
          <t>Madhya Pradesh</t>
        </is>
      </c>
      <c r="B14" s="10" t="n">
        <v>0</v>
      </c>
      <c r="C14" s="10" t="n">
        <v>99999999</v>
      </c>
      <c r="D14" s="10" t="n">
        <v>10</v>
      </c>
      <c r="E14" s="10" t="n">
        <v>30</v>
      </c>
      <c r="F14" s="10" t="inlineStr">
        <is>
          <t>half-yearly</t>
        </is>
      </c>
      <c r="G14" s="10" t="inlineStr">
        <is>
          <t>6, 12</t>
        </is>
      </c>
      <c r="H14" s="10" t="inlineStr">
        <is>
          <t>—</t>
        </is>
      </c>
      <c r="I14" s="10" t="inlineStr">
        <is>
          <t>— no source cited —</t>
        </is>
      </c>
      <c r="J14" s="11" t="n"/>
      <c r="K14" s="11" t="n"/>
      <c r="L14" s="11" t="n"/>
      <c r="M14" s="11" t="n"/>
      <c r="N14" s="11" t="n"/>
      <c r="O14" s="11" t="n"/>
      <c r="P14" s="11" t="n"/>
    </row>
    <row r="15">
      <c r="A15" s="10" t="inlineStr">
        <is>
          <t>Maharashtra</t>
        </is>
      </c>
      <c r="B15" s="10" t="n">
        <v>0</v>
      </c>
      <c r="C15" s="10" t="n">
        <v>99999999</v>
      </c>
      <c r="D15" s="10" t="n">
        <v>25</v>
      </c>
      <c r="E15" s="10" t="n">
        <v>75</v>
      </c>
      <c r="F15" s="10" t="inlineStr">
        <is>
          <t>half-yearly</t>
        </is>
      </c>
      <c r="G15" s="10" t="inlineStr">
        <is>
          <t>6, 12</t>
        </is>
      </c>
      <c r="H15" s="10" t="inlineStr">
        <is>
          <t>2024-03-18</t>
        </is>
      </c>
      <c r="I15" s="10" t="inlineStr">
        <is>
          <t>https://bombayhighcourt.gov.in/bhc/libweb/legislation/acts/Stateact/2024acts/2024.25.pdf</t>
        </is>
      </c>
      <c r="J15" s="11" t="n"/>
      <c r="K15" s="11" t="n"/>
      <c r="L15" s="11" t="n"/>
      <c r="M15" s="11" t="n"/>
      <c r="N15" s="11" t="n"/>
      <c r="O15" s="11" t="n"/>
      <c r="P15" s="11" t="n"/>
    </row>
    <row r="16">
      <c r="A16" s="10" t="inlineStr">
        <is>
          <t>Odisha</t>
        </is>
      </c>
      <c r="B16" s="10" t="n">
        <v>0</v>
      </c>
      <c r="C16" s="10" t="n">
        <v>99999999</v>
      </c>
      <c r="D16" s="10" t="n">
        <v>20</v>
      </c>
      <c r="E16" s="10" t="n">
        <v>40</v>
      </c>
      <c r="F16" s="10" t="inlineStr">
        <is>
          <t>half-yearly</t>
        </is>
      </c>
      <c r="G16" s="10" t="inlineStr">
        <is>
          <t>6, 12</t>
        </is>
      </c>
      <c r="H16" s="10" t="inlineStr">
        <is>
          <t>—</t>
        </is>
      </c>
      <c r="I16" s="10" t="inlineStr">
        <is>
          <t>— no source cited —</t>
        </is>
      </c>
      <c r="J16" s="11" t="n"/>
      <c r="K16" s="11" t="n"/>
      <c r="L16" s="11" t="n"/>
      <c r="M16" s="11" t="n"/>
      <c r="N16" s="11" t="n"/>
      <c r="O16" s="11" t="n"/>
      <c r="P16" s="11" t="n"/>
    </row>
    <row r="17">
      <c r="A17" s="10" t="inlineStr">
        <is>
          <t>Punjab</t>
        </is>
      </c>
      <c r="B17" s="10" t="n">
        <v>0</v>
      </c>
      <c r="C17" s="10" t="n">
        <v>99999999</v>
      </c>
      <c r="D17" s="10" t="n">
        <v>5</v>
      </c>
      <c r="E17" s="10" t="n">
        <v>20</v>
      </c>
      <c r="F17" s="10" t="inlineStr">
        <is>
          <t>monthly</t>
        </is>
      </c>
      <c r="G17" s="10" t="inlineStr">
        <is>
          <t>all</t>
        </is>
      </c>
      <c r="H17" s="10" t="inlineStr">
        <is>
          <t>—</t>
        </is>
      </c>
      <c r="I17" s="10" t="inlineStr">
        <is>
          <t>— no source cited —</t>
        </is>
      </c>
      <c r="J17" s="11" t="n"/>
      <c r="K17" s="11" t="n"/>
      <c r="L17" s="11" t="n"/>
      <c r="M17" s="11" t="n"/>
      <c r="N17" s="11" t="n"/>
      <c r="O17" s="11" t="n"/>
      <c r="P17" s="11" t="n"/>
    </row>
    <row r="18">
      <c r="A18" s="10" t="inlineStr">
        <is>
          <t>Tamil Nadu</t>
        </is>
      </c>
      <c r="B18" s="10" t="n">
        <v>0</v>
      </c>
      <c r="C18" s="10" t="n">
        <v>99999999</v>
      </c>
      <c r="D18" s="10" t="n">
        <v>20</v>
      </c>
      <c r="E18" s="10" t="n">
        <v>40</v>
      </c>
      <c r="F18" s="10" t="inlineStr">
        <is>
          <t>yearly</t>
        </is>
      </c>
      <c r="G18" s="10" t="inlineStr">
        <is>
          <t>12</t>
        </is>
      </c>
      <c r="H18" s="10" t="inlineStr">
        <is>
          <t>—</t>
        </is>
      </c>
      <c r="I18" s="10" t="inlineStr">
        <is>
          <t>— no source cited —</t>
        </is>
      </c>
      <c r="J18" s="11" t="n"/>
      <c r="K18" s="11" t="n"/>
      <c r="L18" s="11" t="n"/>
      <c r="M18" s="11" t="n"/>
      <c r="N18" s="11" t="n"/>
      <c r="O18" s="11" t="n"/>
      <c r="P18" s="11" t="n"/>
    </row>
    <row r="19">
      <c r="A19" s="10" t="inlineStr">
        <is>
          <t>Telangana</t>
        </is>
      </c>
      <c r="B19" s="10" t="n">
        <v>0</v>
      </c>
      <c r="C19" s="10" t="n">
        <v>99999999</v>
      </c>
      <c r="D19" s="10" t="n">
        <v>2</v>
      </c>
      <c r="E19" s="10" t="n">
        <v>5</v>
      </c>
      <c r="F19" s="10" t="inlineStr">
        <is>
          <t>yearly</t>
        </is>
      </c>
      <c r="G19" s="10" t="inlineStr">
        <is>
          <t>12</t>
        </is>
      </c>
      <c r="H19" s="10" t="inlineStr">
        <is>
          <t>—</t>
        </is>
      </c>
      <c r="I19" s="10" t="inlineStr">
        <is>
          <t>— no source cited —</t>
        </is>
      </c>
      <c r="J19" s="11" t="n"/>
      <c r="K19" s="11" t="n"/>
      <c r="L19" s="11" t="n"/>
      <c r="M19" s="11" t="n"/>
      <c r="N19" s="11" t="n"/>
      <c r="O19" s="11" t="n"/>
      <c r="P19" s="11" t="n"/>
    </row>
    <row r="20">
      <c r="A20" s="10" t="inlineStr">
        <is>
          <t>West Bengal</t>
        </is>
      </c>
      <c r="B20" s="10" t="n">
        <v>0</v>
      </c>
      <c r="C20" s="10" t="n">
        <v>3500</v>
      </c>
      <c r="D20" s="10" t="n">
        <v>3</v>
      </c>
      <c r="E20" s="10" t="n">
        <v>15</v>
      </c>
      <c r="F20" s="10" t="inlineStr">
        <is>
          <t>half-yearly</t>
        </is>
      </c>
      <c r="G20" s="10" t="inlineStr">
        <is>
          <t>6, 12</t>
        </is>
      </c>
      <c r="H20" s="10" t="inlineStr">
        <is>
          <t>—</t>
        </is>
      </c>
      <c r="I20" s="10" t="inlineStr">
        <is>
          <t>— no source cited —</t>
        </is>
      </c>
      <c r="J20" s="11" t="n"/>
      <c r="K20" s="11" t="n"/>
      <c r="L20" s="11" t="n"/>
      <c r="M20" s="11" t="n"/>
      <c r="N20" s="11" t="n"/>
      <c r="O20" s="11" t="n"/>
      <c r="P20" s="11" t="n"/>
    </row>
    <row r="21">
      <c r="A21" s="10" t="inlineStr">
        <is>
          <t>West Bengal</t>
        </is>
      </c>
      <c r="B21" s="10" t="n">
        <v>3501</v>
      </c>
      <c r="C21" s="10" t="n">
        <v>99999999</v>
      </c>
      <c r="D21" s="10" t="n">
        <v>6</v>
      </c>
      <c r="E21" s="10" t="n">
        <v>18</v>
      </c>
      <c r="F21" s="10" t="inlineStr">
        <is>
          <t>half-yearly</t>
        </is>
      </c>
      <c r="G21" s="10" t="inlineStr">
        <is>
          <t>6, 12</t>
        </is>
      </c>
      <c r="H21" s="10" t="inlineStr">
        <is>
          <t>—</t>
        </is>
      </c>
      <c r="I21" s="10" t="inlineStr">
        <is>
          <t>— no source cited —</t>
        </is>
      </c>
      <c r="J21" s="11" t="n"/>
      <c r="K21" s="11" t="n"/>
      <c r="L21" s="11" t="n"/>
      <c r="M21" s="11" t="n"/>
      <c r="N21" s="11" t="n"/>
      <c r="O21" s="11" t="n"/>
      <c r="P21" s="11" t="n"/>
    </row>
  </sheetData>
  <mergeCells count="2">
    <mergeCell ref="A1:P1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>
      <c r="A1" s="7" t="inlineStr">
        <is>
          <t>Sign-off</t>
        </is>
      </c>
    </row>
    <row r="2" ht="30" customHeight="1">
      <c r="A2" s="8" t="inlineStr">
        <is>
          <t>Counts update themselves from the tabs. Sign only when 'Not checked' is zero on every row you are accepting.</t>
        </is>
      </c>
    </row>
    <row r="4">
      <c r="A4" s="12" t="inlineStr">
        <is>
          <t>Tab</t>
        </is>
      </c>
      <c r="B4" s="12" t="inlineStr">
        <is>
          <t>Rows</t>
        </is>
      </c>
      <c r="C4" s="12" t="inlineStr">
        <is>
          <t>Correct (Y)</t>
        </is>
      </c>
      <c r="D4" s="12" t="inlineStr">
        <is>
          <t>Wrong (N)</t>
        </is>
      </c>
      <c r="E4" s="12" t="inlineStr">
        <is>
          <t>Not checked</t>
        </is>
      </c>
      <c r="F4" s="12" t="inlineStr">
        <is>
          <t>Status</t>
        </is>
      </c>
    </row>
    <row r="5">
      <c r="A5" s="13" t="inlineStr">
        <is>
          <t>Income tax</t>
        </is>
      </c>
      <c r="B5" s="13" t="n">
        <v>31</v>
      </c>
      <c r="C5" s="13">
        <f>COUNTIF('Income tax'!$F$5:$F$35,"Y")</f>
        <v/>
      </c>
      <c r="D5" s="13">
        <f>COUNTIF('Income tax'!$F$5:$F$35,"N")</f>
        <v/>
      </c>
      <c r="E5" s="14">
        <f>B5-C5-D5</f>
        <v/>
      </c>
      <c r="F5" s="15">
        <f>IF(E5&gt;0,"INCOMPLETE",IF(D5&gt;0,"CORRECTIONS NEEDED","ACCEPTED"))</f>
        <v/>
      </c>
    </row>
    <row r="6">
      <c r="A6" s="13" t="inlineStr">
        <is>
          <t>PF and ESIC</t>
        </is>
      </c>
      <c r="B6" s="13" t="n">
        <v>15</v>
      </c>
      <c r="C6" s="13">
        <f>COUNTIF('PF and ESIC'!$E$5:$E$19,"Y")</f>
        <v/>
      </c>
      <c r="D6" s="13">
        <f>COUNTIF('PF and ESIC'!$E$5:$E$19,"N")</f>
        <v/>
      </c>
      <c r="E6" s="14">
        <f>B6-C6-D6</f>
        <v/>
      </c>
      <c r="F6" s="15">
        <f>IF(E6&gt;0,"INCOMPLETE",IF(D6&gt;0,"CORRECTIONS NEEDED","ACCEPTED"))</f>
        <v/>
      </c>
    </row>
    <row r="7">
      <c r="A7" s="13" t="inlineStr">
        <is>
          <t>Labour Codes</t>
        </is>
      </c>
      <c r="B7" s="13" t="n">
        <v>9</v>
      </c>
      <c r="C7" s="13">
        <f>COUNTIF('Labour Codes'!$E$5:$E$13,"Y")</f>
        <v/>
      </c>
      <c r="D7" s="13">
        <f>COUNTIF('Labour Codes'!$E$5:$E$13,"N")</f>
        <v/>
      </c>
      <c r="E7" s="14">
        <f>B7-C7-D7</f>
        <v/>
      </c>
      <c r="F7" s="15">
        <f>IF(E7&gt;0,"INCOMPLETE",IF(D7&gt;0,"CORRECTIONS NEEDED","ACCEPTED"))</f>
        <v/>
      </c>
    </row>
    <row r="8">
      <c r="A8" s="13" t="inlineStr">
        <is>
          <t>PT by state</t>
        </is>
      </c>
      <c r="B8" s="13" t="n">
        <v>105</v>
      </c>
      <c r="C8" s="13">
        <f>COUNTIF('PT by state'!$J$5:$J$109,"Y")</f>
        <v/>
      </c>
      <c r="D8" s="13">
        <f>COUNTIF('PT by state'!$J$5:$J$109,"N")</f>
        <v/>
      </c>
      <c r="E8" s="14">
        <f>B8-C8-D8</f>
        <v/>
      </c>
      <c r="F8" s="15">
        <f>IF(E8&gt;0,"INCOMPLETE",IF(D8&gt;0,"CORRECTIONS NEEDED","ACCEPTED"))</f>
        <v/>
      </c>
    </row>
    <row r="9">
      <c r="A9" s="13" t="inlineStr">
        <is>
          <t>LWF by state</t>
        </is>
      </c>
      <c r="B9" s="13" t="n">
        <v>17</v>
      </c>
      <c r="C9" s="13">
        <f>COUNTIF('LWF by state'!$J$5:$J$21,"Y")</f>
        <v/>
      </c>
      <c r="D9" s="13">
        <f>COUNTIF('LWF by state'!$J$5:$J$21,"N")</f>
        <v/>
      </c>
      <c r="E9" s="14">
        <f>B9-C9-D9</f>
        <v/>
      </c>
      <c r="F9" s="15">
        <f>IF(E9&gt;0,"INCOMPLETE",IF(D9&gt;0,"CORRECTIONS NEEDED","ACCEPTED"))</f>
        <v/>
      </c>
    </row>
    <row r="11">
      <c r="A11" s="5" t="inlineStr">
        <is>
          <t>Total values</t>
        </is>
      </c>
      <c r="B11" s="5">
        <f>SUM(B5:B9)</f>
        <v/>
      </c>
      <c r="E11" s="5">
        <f>SUM(E5:E9)</f>
        <v/>
      </c>
      <c r="F11" s="16">
        <f>IF(E11&gt;0,"NOT READY FOR CLIENT DATA","D6 SATISFIED")</f>
        <v/>
      </c>
    </row>
    <row r="13">
      <c r="A13" s="5" t="inlineStr">
        <is>
          <t>Slab rows citing a source</t>
        </is>
      </c>
      <c r="B13" s="5" t="inlineStr">
        <is>
          <t>2 of 122</t>
        </is>
      </c>
    </row>
    <row r="14" ht="30" customHeight="1">
      <c r="A14" s="17" t="inlineStr">
        <is>
          <t>Counted in slab rows, not states: PT is banded by wage, so 22 states become 105 rows, and LWF's 15 states become 17. 120 of those 122 rows carry no source in the code. They are not wrong — most predate the provenance field — but they are the rows to check first, because nothing records where they came from.</t>
        </is>
      </c>
    </row>
    <row r="18">
      <c r="A18" s="18" t="inlineStr">
        <is>
          <t>Reviewer declaration</t>
        </is>
      </c>
    </row>
    <row r="19">
      <c r="A19" s="19" t="inlineStr">
        <is>
          <t>Name</t>
        </is>
      </c>
      <c r="B19" s="20" t="n"/>
      <c r="C19" s="21" t="n"/>
      <c r="D19" s="22" t="n"/>
    </row>
    <row r="20">
      <c r="A20" s="19" t="inlineStr">
        <is>
          <t>Qualification / membership no.</t>
        </is>
      </c>
      <c r="B20" s="20" t="n"/>
      <c r="C20" s="21" t="n"/>
      <c r="D20" s="22" t="n"/>
    </row>
    <row r="21">
      <c r="A21" s="19" t="inlineStr">
        <is>
          <t>Firm</t>
        </is>
      </c>
      <c r="B21" s="20" t="n"/>
      <c r="C21" s="21" t="n"/>
      <c r="D21" s="22" t="n"/>
    </row>
    <row r="22">
      <c r="A22" s="19" t="inlineStr">
        <is>
          <t>Date</t>
        </is>
      </c>
      <c r="B22" s="20" t="n"/>
      <c r="C22" s="21" t="n"/>
      <c r="D22" s="22" t="n"/>
    </row>
    <row r="23">
      <c r="A23" s="19" t="inlineStr">
        <is>
          <t>Signature</t>
        </is>
      </c>
      <c r="B23" s="20" t="n"/>
      <c r="C23" s="21" t="n"/>
      <c r="D23" s="22" t="n"/>
    </row>
    <row r="24">
      <c r="A24" s="19" t="inlineStr">
        <is>
          <t>Labour Codes: PF expected on the deemed wages? (Y/N)</t>
        </is>
      </c>
      <c r="B24" s="20" t="n"/>
      <c r="C24" s="21" t="n"/>
      <c r="D24" s="22" t="n"/>
    </row>
    <row r="26">
      <c r="A26" s="6" t="inlineStr">
        <is>
          <t>I have checked the values marked Y against the sources I cited, and they are correct as at the date above.</t>
        </is>
      </c>
    </row>
  </sheetData>
  <mergeCells count="10">
    <mergeCell ref="A2:F2"/>
    <mergeCell ref="B19:D19"/>
    <mergeCell ref="A14:F14"/>
    <mergeCell ref="B23:D23"/>
    <mergeCell ref="B22:D22"/>
    <mergeCell ref="A1:F1"/>
    <mergeCell ref="B21:D21"/>
    <mergeCell ref="A26:F26"/>
    <mergeCell ref="B24:D2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2026-10-17T09:17:49Z</dcterms:created>
  <dcterms:modified xsi:type="dcterms:W3CDTF">2026-10-17T09:17:49Z</dcterms:modified>
</cp:coreProperties>
</file>